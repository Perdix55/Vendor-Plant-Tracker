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S:\_____WEEKLY AVAILABILITY'S\INDEPENDENT PALM ACRES\"/>
    </mc:Choice>
  </mc:AlternateContent>
  <xr:revisionPtr revIDLastSave="0" documentId="8_{EB16CD25-1AE7-418D-87A0-D2DEF335FA34}" xr6:coauthVersionLast="47" xr6:coauthVersionMax="47" xr10:uidLastSave="{00000000-0000-0000-0000-000000000000}"/>
  <bookViews>
    <workbookView xWindow="-98" yWindow="-98" windowWidth="21795" windowHeight="12975" xr2:uid="{1A7B9217-98C3-45D0-A426-DFA886120BEE}"/>
  </bookViews>
  <sheets>
    <sheet name="INDEPENDENT HOUSE DELIVERED" sheetId="1" r:id="rId1"/>
  </sheets>
  <externalReferences>
    <externalReference r:id="rId2"/>
  </externalReferences>
  <definedNames>
    <definedName name="avail">[1]tables!$C$16</definedName>
    <definedName name="customer_table">[1]tables!$A$36:$L$48</definedName>
    <definedName name="intermediate1_targetrange_d">"""D11:G800"""</definedName>
    <definedName name="intermediate1_targetrange_e">"""E11:G800"""</definedName>
    <definedName name="_xlnm.Print_Area" localSheetId="0">'INDEPENDENT HOUSE DELIVERED'!$B$2:$P$61</definedName>
    <definedName name="_xlnm.Print_Titles" localSheetId="0">'INDEPENDENT HOUSE DELIVERED'!$2:$8</definedName>
    <definedName name="row_template" localSheetId="0">'INDEPENDENT HOUSE DELIVERED'!$U$9:$Z$9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8" i="1" l="1"/>
  <c r="Y8" i="1"/>
  <c r="X8" i="1"/>
  <c r="W8" i="1"/>
  <c r="V8" i="1"/>
  <c r="B5" i="1"/>
</calcChain>
</file>

<file path=xl/sharedStrings.xml><?xml version="1.0" encoding="utf-8"?>
<sst xmlns="http://schemas.openxmlformats.org/spreadsheetml/2006/main" count="165" uniqueCount="74">
  <si>
    <t/>
  </si>
  <si>
    <t>CUSTOMER:_______________________________________________________________________________________________</t>
  </si>
  <si>
    <t>ORDER DATE:___________________________________________________________________________________________</t>
  </si>
  <si>
    <t>REQUESTED DELIVERY DATE:_______________________________________________________________________________________</t>
  </si>
  <si>
    <r>
      <rPr>
        <b/>
        <sz val="16"/>
        <rFont val="Arial Black"/>
        <family val="2"/>
      </rPr>
      <t>Prices are Delivered on $1000 Min</t>
    </r>
    <r>
      <rPr>
        <b/>
        <sz val="18"/>
        <rFont val="Arial Black"/>
        <family val="2"/>
      </rPr>
      <t>.</t>
    </r>
    <r>
      <rPr>
        <b/>
        <sz val="11"/>
        <rFont val="Arial Black"/>
        <family val="2"/>
      </rPr>
      <t xml:space="preserve"> (760) 510-1312</t>
    </r>
  </si>
  <si>
    <t xml:space="preserve">ORDERED BY:______________     P.O. #  ________________________     </t>
  </si>
  <si>
    <t>370 Wilshire Rd Oceanside, Ca  92057  FAX (760) 510-1345</t>
  </si>
  <si>
    <t>The row below is the template row</t>
  </si>
  <si>
    <t>Order</t>
  </si>
  <si>
    <t>Item#</t>
  </si>
  <si>
    <t>Code</t>
  </si>
  <si>
    <t>Cost</t>
  </si>
  <si>
    <t>Description</t>
  </si>
  <si>
    <t xml:space="preserve"> BAMBOO </t>
  </si>
  <si>
    <t>ROEBELENII PALM</t>
  </si>
  <si>
    <t>-</t>
  </si>
  <si>
    <t>#5 Golden Bamboo</t>
  </si>
  <si>
    <t>#3 Roebelenii  Multi (10 inch)</t>
  </si>
  <si>
    <t>BIRD OF PARADISE - GIANT</t>
  </si>
  <si>
    <t>#12 Roebelenii - Multi</t>
  </si>
  <si>
    <t>#5 Giant Bird Multi</t>
  </si>
  <si>
    <t>#14 Roebelenii - Multi</t>
  </si>
  <si>
    <t xml:space="preserve">#15G /17 Giant Bird </t>
  </si>
  <si>
    <t>#17 Roebelenii - Multi</t>
  </si>
  <si>
    <t xml:space="preserve">BIRD OF PARADISE - ORANGE </t>
  </si>
  <si>
    <t>5G PRO LANDSCAPE SHRUB</t>
  </si>
  <si>
    <t>#3 Orange Bird</t>
  </si>
  <si>
    <t xml:space="preserve">5G Buxus Microphylla Japonica </t>
  </si>
  <si>
    <t>#15 Orange Bird</t>
  </si>
  <si>
    <t>5G Juniperus Chinensis Blue Point</t>
  </si>
  <si>
    <t>CORDYLINE AUSTRALIS</t>
  </si>
  <si>
    <t>5G Cupressus Glauca 'Italian Cypress'</t>
  </si>
  <si>
    <t xml:space="preserve">#5 Cordyline (Can Can) </t>
  </si>
  <si>
    <t>5G Pittosporum 'Wheelers Dwarf'</t>
  </si>
  <si>
    <t xml:space="preserve">#5 Cordyline (Salsa) </t>
  </si>
  <si>
    <t>FICUS-SUN</t>
  </si>
  <si>
    <t>#5 Cordyline (Torbay Dazz.)</t>
  </si>
  <si>
    <t>#15 Ficus Nitida - Column</t>
  </si>
  <si>
    <t>KING PALM</t>
  </si>
  <si>
    <t>PODOCARPUS</t>
  </si>
  <si>
    <t>#5 King Palm - Multi</t>
  </si>
  <si>
    <t>#5 Podocarpus Gracillior</t>
  </si>
  <si>
    <t># 15 King Multi</t>
  </si>
  <si>
    <t>#15 Podocarpus Gracilior</t>
  </si>
  <si>
    <t>CORDYLINE- FRUITICOSA</t>
  </si>
  <si>
    <t>QUEEN PALM</t>
  </si>
  <si>
    <t xml:space="preserve"># 3 Cordyline - Florica  </t>
  </si>
  <si>
    <t>#5 Queen Palm</t>
  </si>
  <si>
    <t># 3 Cordyline - Hot Pepper</t>
  </si>
  <si>
    <t>#15 Queen Palm</t>
  </si>
  <si>
    <t>DRACAENA DRACO</t>
  </si>
  <si>
    <t xml:space="preserve">#20 Queen Palm </t>
  </si>
  <si>
    <t>#5 Dracaena Draco</t>
  </si>
  <si>
    <t>MEDITERANEAN FAN PALM</t>
  </si>
  <si>
    <t>YUCCA</t>
  </si>
  <si>
    <t>#15 Med Fan Palm</t>
  </si>
  <si>
    <t>#3 Yucca Gloriosa</t>
  </si>
  <si>
    <t>WINDMILL PALM (TRACHYCARPUS)</t>
  </si>
  <si>
    <t xml:space="preserve">SAGO PALM </t>
  </si>
  <si>
    <t xml:space="preserve">#15 Windmill </t>
  </si>
  <si>
    <t>#5/12" Sago Palm</t>
  </si>
  <si>
    <t xml:space="preserve">CANARY ISLAND DATE PALM </t>
  </si>
  <si>
    <t>#7/14" Sago Palm</t>
  </si>
  <si>
    <t>#15 Canary Island Date Palm</t>
  </si>
  <si>
    <t>#15 Sago Palm</t>
  </si>
  <si>
    <t xml:space="preserve">PONYTAIL PALM (BEAUCARNEA) </t>
  </si>
  <si>
    <t>#20 Sago Palm Premium</t>
  </si>
  <si>
    <t>#5 Ponytail</t>
  </si>
  <si>
    <t xml:space="preserve">ZAMIA PALM </t>
  </si>
  <si>
    <t>#3 Zamia Coontie</t>
  </si>
  <si>
    <t>#14 Zamia (Coontie)</t>
  </si>
  <si>
    <t>KENTIA PALM</t>
  </si>
  <si>
    <t>#15 Kentia Palm - Multi 10'+</t>
  </si>
  <si>
    <t>#15 Kentia Palm - Single 10'+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</si>
</sst>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28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Cambria"/>
      <family val="1"/>
    </font>
    <font>
      <b/>
      <sz val="12"/>
      <name val="Constantia"/>
      <family val="1"/>
    </font>
    <font>
      <sz val="11"/>
      <name val="Arial Black"/>
      <family val="2"/>
    </font>
    <font>
      <sz val="10"/>
      <name val="Arial Black"/>
      <family val="2"/>
    </font>
    <font>
      <b/>
      <sz val="12"/>
      <name val="Arial Black"/>
      <family val="2"/>
    </font>
    <font>
      <sz val="12"/>
      <color rgb="FF222222"/>
      <name val="Arial"/>
      <family val="2"/>
    </font>
    <font>
      <b/>
      <sz val="11"/>
      <name val="Arial Black"/>
      <family val="2"/>
    </font>
    <font>
      <b/>
      <sz val="16"/>
      <name val="Arial Black"/>
      <family val="2"/>
    </font>
    <font>
      <b/>
      <sz val="18"/>
      <name val="Arial Black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222222"/>
      <name val="Arial"/>
      <family val="2"/>
    </font>
    <font>
      <sz val="12"/>
      <name val="Arial Black"/>
      <family val="2"/>
    </font>
    <font>
      <b/>
      <sz val="12"/>
      <name val="Arial"/>
      <family val="2"/>
    </font>
    <font>
      <sz val="11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11"/>
      <name val="Arial Narrow"/>
      <family val="2"/>
    </font>
    <font>
      <sz val="9"/>
      <name val="Arial"/>
      <family val="2"/>
    </font>
    <font>
      <sz val="17"/>
      <name val="Arial Narrow"/>
      <family val="2"/>
    </font>
    <font>
      <b/>
      <sz val="16"/>
      <name val="Arial"/>
      <family val="2"/>
    </font>
    <font>
      <b/>
      <sz val="14"/>
      <name val="Arial Black"/>
      <family val="2"/>
    </font>
    <font>
      <sz val="18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23" fillId="0" borderId="9" applyFill="0" applyAlignment="0"/>
  </cellStyleXfs>
  <cellXfs count="41">
    <xf numFmtId="0" fontId="0" fillId="0" borderId="0" xfId="0"/>
    <xf numFmtId="0" fontId="4" fillId="0" borderId="0" xfId="1" applyFont="1"/>
    <xf numFmtId="0" fontId="5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0" fontId="4" fillId="0" borderId="0" xfId="1" quotePrefix="1" applyFont="1"/>
    <xf numFmtId="0" fontId="7" fillId="0" borderId="1" xfId="1" applyFont="1" applyBorder="1"/>
    <xf numFmtId="0" fontId="8" fillId="0" borderId="2" xfId="1" applyFont="1" applyBorder="1" applyAlignment="1">
      <alignment horizontal="center"/>
    </xf>
    <xf numFmtId="0" fontId="8" fillId="0" borderId="2" xfId="1" applyFont="1" applyBorder="1"/>
    <xf numFmtId="0" fontId="8" fillId="0" borderId="3" xfId="1" applyFont="1" applyBorder="1"/>
    <xf numFmtId="0" fontId="7" fillId="0" borderId="4" xfId="1" applyFont="1" applyBorder="1"/>
    <xf numFmtId="0" fontId="8" fillId="0" borderId="0" xfId="1" applyFont="1" applyAlignment="1">
      <alignment horizontal="center"/>
    </xf>
    <xf numFmtId="0" fontId="8" fillId="0" borderId="0" xfId="1" applyFont="1"/>
    <xf numFmtId="0" fontId="8" fillId="0" borderId="5" xfId="1" applyFont="1" applyBorder="1"/>
    <xf numFmtId="14" fontId="9" fillId="0" borderId="0" xfId="1" applyNumberFormat="1" applyFont="1"/>
    <xf numFmtId="0" fontId="10" fillId="0" borderId="0" xfId="1" applyFont="1"/>
    <xf numFmtId="0" fontId="11" fillId="0" borderId="0" xfId="1" applyFont="1"/>
    <xf numFmtId="0" fontId="14" fillId="0" borderId="0" xfId="1" applyFont="1"/>
    <xf numFmtId="0" fontId="15" fillId="0" borderId="0" xfId="1" applyFont="1" applyAlignment="1">
      <alignment horizontal="center"/>
    </xf>
    <xf numFmtId="0" fontId="16" fillId="0" borderId="0" xfId="1" applyFont="1"/>
    <xf numFmtId="0" fontId="7" fillId="0" borderId="6" xfId="1" applyFont="1" applyBorder="1"/>
    <xf numFmtId="0" fontId="8" fillId="0" borderId="7" xfId="1" applyFont="1" applyBorder="1" applyAlignment="1">
      <alignment horizontal="center"/>
    </xf>
    <xf numFmtId="0" fontId="8" fillId="0" borderId="7" xfId="1" applyFont="1" applyBorder="1"/>
    <xf numFmtId="0" fontId="8" fillId="0" borderId="8" xfId="1" applyFont="1" applyBorder="1"/>
    <xf numFmtId="0" fontId="17" fillId="0" borderId="0" xfId="1" applyFont="1"/>
    <xf numFmtId="0" fontId="3" fillId="0" borderId="0" xfId="1"/>
    <xf numFmtId="0" fontId="3" fillId="0" borderId="0" xfId="1" applyAlignment="1">
      <alignment horizontal="center"/>
    </xf>
    <xf numFmtId="0" fontId="18" fillId="0" borderId="0" xfId="1" applyFont="1" applyAlignment="1">
      <alignment horizontal="right"/>
    </xf>
    <xf numFmtId="0" fontId="19" fillId="0" borderId="0" xfId="1" applyFont="1"/>
    <xf numFmtId="0" fontId="20" fillId="2" borderId="9" xfId="1" applyFont="1" applyFill="1" applyBorder="1" applyAlignment="1">
      <alignment horizontal="center"/>
    </xf>
    <xf numFmtId="0" fontId="20" fillId="2" borderId="9" xfId="1" applyFont="1" applyFill="1" applyBorder="1"/>
    <xf numFmtId="0" fontId="21" fillId="0" borderId="0" xfId="1" quotePrefix="1" applyFont="1"/>
    <xf numFmtId="0" fontId="21" fillId="0" borderId="0" xfId="1" applyFont="1"/>
    <xf numFmtId="0" fontId="19" fillId="0" borderId="0" xfId="1" quotePrefix="1" applyFont="1"/>
    <xf numFmtId="0" fontId="22" fillId="0" borderId="0" xfId="1" applyFont="1"/>
    <xf numFmtId="49" fontId="24" fillId="3" borderId="9" xfId="2" applyNumberFormat="1" applyFont="1" applyFill="1" applyAlignment="1">
      <alignment horizontal="center" vertical="center"/>
    </xf>
    <xf numFmtId="49" fontId="25" fillId="3" borderId="9" xfId="2" applyNumberFormat="1" applyFont="1" applyFill="1" applyAlignment="1">
      <alignment horizontal="left" vertical="center"/>
    </xf>
    <xf numFmtId="0" fontId="24" fillId="3" borderId="9" xfId="1" applyFont="1" applyFill="1" applyBorder="1" applyAlignment="1">
      <alignment horizontal="right" vertical="center"/>
    </xf>
    <xf numFmtId="0" fontId="26" fillId="3" borderId="9" xfId="1" applyFont="1" applyFill="1" applyBorder="1" applyAlignment="1">
      <alignment vertical="center"/>
    </xf>
    <xf numFmtId="0" fontId="27" fillId="3" borderId="9" xfId="1" applyFont="1" applyFill="1" applyBorder="1" applyAlignment="1">
      <alignment vertical="center"/>
    </xf>
    <xf numFmtId="7" fontId="24" fillId="3" borderId="9" xfId="1" applyNumberFormat="1" applyFont="1" applyFill="1" applyBorder="1" applyAlignment="1">
      <alignment horizontal="right" vertical="center"/>
    </xf>
  </cellXfs>
  <cellStyles count="3">
    <cellStyle name="listitem 2" xfId="2" xr:uid="{38A996BD-3BB4-4574-971D-C0311579C150}"/>
    <cellStyle name="Normal" xfId="0" builtinId="0"/>
    <cellStyle name="Normal 2" xfId="1" xr:uid="{C965965A-024C-44D2-B48B-6AE9491BA5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List" dx="39" fmlaLink="[1]tables!$N$36" fmlaRange="[1]tables!$B$36:$B$48" noThreeD="1" sel="5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google.com/imgres?sa=X&amp;biw=1371&amp;bih=687&amp;tbm=isch&amp;tbnid=0Lsde30o6q1bRM:&amp;imgrefurl=http://trademarks.justia.com/browse-by-serial-number/85/73/88/&amp;docid=lTY2P5M4c6RClM&amp;imgurl=http://trademarks.justia.com/media/image.php?serial=85738893&amp;w=392&amp;h=140&amp;ei=pFd9Uq6IGcP0yQHy-YDwAg&amp;zoom=1&amp;ved=1t:3588,r:6,s:0,i:99&amp;iact=rc&amp;page=1&amp;tbnh=112&amp;tbnw=313&amp;start=0&amp;ndsp=15&amp;tx=229.28570556640625&amp;ty=80.8571472167968" TargetMode="External"/><Relationship Id="rId2" Type="http://schemas.openxmlformats.org/officeDocument/2006/relationships/hyperlink" Target="http://www.google.com/imgres?q=Kentia+palm+tree+clip+art&amp;hl=en&amp;biw=1600&amp;bih=805&amp;tbm=isch&amp;tbnid=c5jcaqxjSChKuM:&amp;imgrefurl=http://www.thefind.com/gifts/info-palm-tree-sunglasses&amp;docid=_3YmGB4wBlLADM&amp;imgurl=http://i.tfcdn.com/img2/zOeBN00AY3ruzcCYlpNfnlpUHJ-YlxKfnplWUsyQUVJSYKWvn5ySp5dfBpQqyU_O1kvOz9XPzE1MTy3WLyjKTylNLinWDzA0MjG0tDAx1csqSAcA/fyVMtP8A&amp;w=180&amp;h=180&amp;ei=sEMpUZr6K-SA2QWamYCYAw&amp;zoom=1&amp;ved=1t:3588,i:99&amp;iact=rc&amp;dur=1422&amp;sig=106690496450684300854&amp;page=1&amp;tbnh=144&amp;tbnw=144&amp;start=0&amp;ndsp=35&amp;tx=95&amp;ty=7" TargetMode="External"/><Relationship Id="rId1" Type="http://schemas.openxmlformats.org/officeDocument/2006/relationships/image" Target="../media/image1.jpeg"/><Relationship Id="rId5" Type="http://schemas.openxmlformats.org/officeDocument/2006/relationships/image" Target="../media/image3.jpeg"/><Relationship Id="rId4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85724</xdr:colOff>
      <xdr:row>2</xdr:row>
      <xdr:rowOff>116032</xdr:rowOff>
    </xdr:from>
    <xdr:to>
      <xdr:col>5</xdr:col>
      <xdr:colOff>2621801</xdr:colOff>
      <xdr:row>3</xdr:row>
      <xdr:rowOff>342899</xdr:rowOff>
    </xdr:to>
    <xdr:pic>
      <xdr:nvPicPr>
        <xdr:cNvPr id="2" name="Picture 1" descr="logo Jpeg">
          <a:extLst>
            <a:ext uri="{FF2B5EF4-FFF2-40B4-BE49-F238E27FC236}">
              <a16:creationId xmlns:a16="http://schemas.microsoft.com/office/drawing/2014/main" id="{9AE0D904-381A-4356-99DC-D7840D62D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4" y="211282"/>
          <a:ext cx="4769690" cy="6078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304800</xdr:colOff>
      <xdr:row>5</xdr:row>
      <xdr:rowOff>306532</xdr:rowOff>
    </xdr:to>
    <xdr:sp macro="" textlink="">
      <xdr:nvSpPr>
        <xdr:cNvPr id="3" name="AutoShape 179" descr="data:image/jpeg;base64,/9j/4AAQSkZJRgABAQAAAQABAAD/2wCEAAkGBhQRERMUEBMVEBUUGRYXFxcWGBUbFhwVGRgYFR4fGBoXHCYeFxolGhcYIC8iIystLDgtFR4xNTAqNSYrLCkBCQoKDgwOGA4PFywcHBwsKSkpLCkpKSksKTUsKSwpKSkpLCkpKSkpKSkpKSk1KSwyLCkpKSkpKSkpKSkpLCwsKf/AABEIAJAAkAMBIgACEQEDEQH/xAAcAAEAAgMBAQEAAAAAAAAAAAAABQYBBAcDAgj/xAA5EAACAgEDAgUCBQMCBAcAAAABAgMRAAQSIQUTBiIxQVEyYQcUI3GRQmKBobEzcvDxJDRSY4KSov/EABgBAQEBAQEAAAAAAAAAAAAAAAABAgME/8QAHREBAQEAAgMBAQAAAAAAAAAAAAERAiEDEkFRMf/aAAwDAQACEQMRAD8A7jjGMBjGMBjGMBnnJqFUqGYAsaWz6mrofJoH+MzJIFBJ4A5JPpxlK8SdYLhUKhxL9MTMNk1edW0044WYVYU88cVVnPK4JJ/E+2aIN5QfzEUi36TIFkX+UV2H2zT6F4gIiUuSQkcMYF+aXVSIJGAv/wBKleeR5nutuUbW655FMm7uHb9bDYZAhZUZwf8AhzK3chkWvV09ORk74dgdHEenCyTRoVV3H6UCsbaRwCC0kjDhQfpjWyt88fe6zrpkfpzn1kL0jqUIPZSf8zLdyEHedx9228RjjgcDjJkZ3l1pnGMZQxjGAxjGAxjGAxjGAxjGBo9X1KxxsWZlHAtdu4EmhW7gmyM5n1JkJlCtEyMf1mVKSzZ267SnlOK/WSjfJAHB6V1uBniYICWr0FWa9qbyt/ytwfQkXY5Drhci0DvQ7UCsQwa72wSSHdE4A/8ALS+UigrVdcPLb8ZrYlTh15V2A4f9Rt5AQbiCDICnG8cusaf1R87GrICrAoVkbdtV9zqx9GJhiIbWNZtmJEa2ALonPI7mUClNEICEFBi6kr22YEcizHa7eCrEFq1Z+oJ3QpU6kvR7aFhGwAob+2N+qrngBYwDwDQOcWVv8P6shkj7m02KjeaGMD7LBptwr14LH98voyj+E+qyM+yKKDatBxGoXtivdlZgWojykA5eFz0+P+NxnGMZ0UxjGAxjGAxjGAzF5m8huudZESPsYWgJZgN/b+GkQHds+SPT/YJi8xuyir4+lH6bQx97ysqq5KSA8lUeuHZbMZ5DbSOCDWvN43k0/eeJfzccqfmdOHfYQFKrNGTtYgJuV/f664FZNTVx69ojLH5Bbr5lpirBgD9LD0P7gg+hFHOXy9e0+qJ/NDtSOCn5jt0WCsQ0WqgNrJsNKdrNyWrZln8O/iHBr1eHUKdPJwKLHYd9hdsgoq1iqNHdVXxdP8WEwTt+ZUC+DNuO016CVtuyQ1QG5QwB+o2b5eS/YlZ6iDsXfstyg7gMbxuiOrAh5SFfb6jd50PqHDDPiR1XfGVDEi3U76Ng13Iwd8wqwTO6AlfpHBzR1WudDEYyFLsrcEAvsoKFPPPmIDAkizTLdZk6tFMcZKbVf+tN9Dbe7sBhHvDqRuZma2UngG+LK6+EzJPsbnsoRVbRGOQfKBUa0RxtEjf3DLZquuKuo7IYDYqtITy36hZY0UD1Zijn7BD82Of6TxC8aGZIn1UqxRKvdcMBPKWoxgArtATgJXAJNWMjuj9RmgVpJpr1MrWGfYWSMlQ7AGl7rgULNKsYAHNHtOU4xrXT/EXi2DRLcxJY3SLRc178mlH3Jzw6V4qMqK8sX5VW5HdcbiPlVAuvuazm3S2UuzNFO7nzsY+zJMxWyWuWt/J52r/Sv7Za+hdIg1DFlePUl6ZhqYW7rAccvvpquvpIH2yced5VdXTTdZgkNJNG5PsHUn+LzdyJ0fhvTxndHCkTfKcH+RV5KgZ2m/VZxjGUMYxgfLHKH4nRZGBUTNIlshJQMo+VNB414rcSo598vpGV3rWgNECkjHmNe59SzX9R49zxXyRtlSuX9Q1aINroTxJWxlIIajQUgAIxFmvKaugeczH4hHIp6suC4Fd3aQWJJHlcWrg/UHvysvns2v8AAR1Kooj7W8FmLMQsd8hn20+omJ/otUAJv+7A/CrRJtueS1dYyw2Bu4wFBiQaJsUAB9Q9bzn61jKp56RC4kWGQOF3WpPn7JPbdG+b3xOD7mFiPXIk9Zl08oV2lYAKb3srAkC15aiFN0CRwaNUDnSpPwm0k6JJpp2CsAUPldCPUEVRv7g/7ZB+KvB00CiSbZIisP1dwLbmV46dWUBtxkPm9br19Qs/VyqprtSOArAE2SNp9r8xQrfBvncwqiDWfEmiJaivaYcbaBNggEEtyPX0r+k/41+n6QIGKfo7VXig0Zv28x8jcFvKTdngVZlnm7NgCi3FISQDyCAwA9f5/g5zsxIlei9M8y/1FP1gAsgo7EiDuFV7O0OFYj2J+Bns2mRGbZqBAL9DMGF+hGyVI+fsT6nPHoPSJtSG7cauBuLMdqr8etUoHpts1WS76KHTAvqKjCAE7djA0AxCyI4ZaQgklSAHX1ujc1cSHh/wd3qYzBkBslKBDeooKxUNfO5WOXzSdLVOfrb3cgBiRxbVQJri/XK/oOtFNyRwqJAqsY7C9pKsHVTUQrkV5QCeD9XJHr03x/p55GjhYzmJQZZYx+gn7yNQ9LP7Kc6ceM4tLOMznlptQJFDKdysLB9iPkZ650UxjGAxjGAz5ZQeCLz6zT6pqQkbMV3e1EhQb49T/wB8CN6z1InfHEsepdQe5pmYLI6H3QtxdXQPlN1uX1zmnVupkGU208RUQSbvJMU52w6jd5k1KFt0UhIDbip5IbPvxJqWmtEglIW2YrqN6R+lHdPFtiPwA6E7ffINeqSChK/5zaGRXKjf2iotTKd25LA4feCTfFDMazqweHetSvviR13uRLFJX6Y1e7hiAbWOckhl4KydwWdwJl+jeOI5om0+riJUoxCvy/bRtsiP6lnj8w+T2XJrKBPIAO4yDcUYGmIBG1eDan6qHqQdvrupSsjpOrdyXcjh5VIZhJz5gVQ7ylBO4qJZIUWjnb5zl1dbC+BW7esMfbeOBn87GQF02rICNp2NtUAc/wBRY8Xnp0nw8+r1AhZliKDaWILNS7bACnnj3JrnkHgHPS+uGNZ9MGfaXUncKZEfR6kkfzAhv/3QfcZI+HfECwz6/UMCyQxxMAgtIw5cysCatT20r3NEVatnPMsTGx1HqMGgjOk0qlkQJG5PLSue6QhYj6bgKEcCpTVVkFrpm3bwwfYAYnKkhnDBmmZFHnp37ioB5pJUHqljy0Mcer1DK5ZGYk2ACASZXkYuwI2qpauOS3BHqYs9MaV/0dWJuf03pkD0O47fqMe2oG0liSu5wPU5q0tbuuRtSqxSbodIjHbplZWm1Et2WnfkFi/LOdwDEhd7AHPfRdVUFBsRooz5EYP+VRgQQ3aBvUS3XnlZaK8KLvNLRxTwpHII01EU9bN6llLJxtCeqtRUDbydoAJ4GXbo/hjS6xI27MZIVW2EhnVW9JNPOADJEaPDDn0JUgg2bU7WDwz4pWWllmDSGgSzadBu9PLGkrMLPySfvlsGV3pHhX8tQjk4UigVBUj/AJT9B+6EDn0yxZqNQxjGVTGMYDNfVaFJK3qGq6/yKzYxgUzxH4LbUKFUosacpELC7j7k0efvRPJqveqxfhrPMVRdumh4LyuoMz/aOMkrCtXRcsfNz8HrlZjJiYo2g/CjTKwaZmmoVsJqP/PuR/mjzx7CS8Y9J3aUJDHwljtopI21VbQwFf8Axb9smn6zEu63Hl+qgzV++0EDIyfxFoNVEy9/T6hGq1LK4N+nlBtrPxjoxyLo0UjzNDMhD7O2A7AAgksd4rcF2gg2BXP9oOIdVs0WrG9ml1A0qFbG6lllQlyefNuvn/T0ye8UIkEytDsgsFWjRCisLBXysgII83PPr6jInTamKPSaxZiCZDAEjN2XWZ3NCr44PxRBNZwtvtiPMgUWY7RIjqVQ2Ow0WiQhbqjSnn5dqBus8+n9UhdwGvgLuCRuy7lJYHarK31Etz718ZGTdXeT/gAKtrUjGNyBVAUy7VAB27mu6s1eW7pfh3WKANV25ARYE2mhAHwd8Q2n/wC4zSLh4aMOq3gSRThlZJFKTb/MKIJklYf6e2WzS6BI/pFck/5PLH9yRZ+Tzkf4f0JRdzx9t/Stxby/bcSVH2sjJnOsbMYxlDGMYDGMYDGMYHy7UL+MonifVTy7iigxpQBdfLuJoBVKs8jX8BfYc5fCM8n0wJViLK3t+1ij/mvf7n5yWDj2o8IamOp9VsSgCrKgVlYmgKgG+SS9u2JPe/Oc2ofAvUJ6Mw3KNpB1Midzn6/LAh2XdUZH9AbJzrXbyM6/oDNFsVRISRas7IhH95QbmX+339MnqmOQSR/lF1MHcSZYghV45AqB1LMwnkA3SObUBD8k1zxH64t3WddrMNrgFAF3Fg1bFLEHaDxuDC7INEZMdaYIyCF1l7TdtZlUJCJQAGi0MScLSht8xLbebPBArWs1WxaBBBCKLLhSocFT9hxuG7kUDd4Rbk6/pZUMkiqJYzZiILFw24BtNOKeNiCD5iygCuB5skekfiI0ShFUSxitskjJG4WgPOPKl8c7OL9vfKV4a6eZZVDkIHX15DRuWVdwUDna7L3B6bZQ1/Mxq/CGu0/M0yxxhbMjR9yNOa3PbH6QAu4+isCAAGAnY6P0Xx9pprEk+mjcEilnjZT+x45r29vk5Zo5QwtSCPkGx/pnKOmdL6jE5WSNW2gFkBkoqfeNwdsig2CKJHHkoi+l9FgKQorJ2yByoKkD9ioAI/wP2GalVv4xjKpjGMBjGMBjGMBjGMBmvrdKsiMjglWFEAkWPccf9c5sYwONeI4GZye2gI/8OiLxHY83YiPH6cYUvPIBRrb/AElco+rnUAFmtGUmyrAMhsq9GrB27/8AIv0zrn4mRpDC80gdleoXZfWPTll3RxC6DzNtUtY4Nk+QKeQdZ8QmfVHURx9i2Ro032oSNYwqMAAKtTf2kr2GZvSWLB4OgLSPG6jehRZ45LIl070m4XxaxuFbggpJC1+XO+CIVXqKrnmx6c365xX8PPE8Ta2GJ4WhZiyRbWEi7QHeNGalZSimRL20VI3cgHO2rlisbMyBmcZQxjGAxjGAxjGAxjGAxjGAxjGBV/xKh3dOn+20/wAMDn5+lTnP0j4u6e0+i1EUY3O8bBR8n1Az876vRujU8ckZ+HR1P8MMYLL+G0d9Q0/2LH/8Nne84x+FXR5jrFlMUixorWzqygsQAAu4Dd7+nxnZhgZxjGAxjGAxjGB//9k=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BA13543-F9E6-488E-8A6F-ABDB030F1A0B}"/>
            </a:ext>
          </a:extLst>
        </xdr:cNvPr>
        <xdr:cNvSpPr>
          <a:spLocks noChangeAspect="1" noChangeArrowheads="1"/>
        </xdr:cNvSpPr>
      </xdr:nvSpPr>
      <xdr:spPr bwMode="auto">
        <a:xfrm>
          <a:off x="2919413" y="1238250"/>
          <a:ext cx="304800" cy="3065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304800</xdr:colOff>
      <xdr:row>4</xdr:row>
      <xdr:rowOff>307398</xdr:rowOff>
    </xdr:to>
    <xdr:sp macro="" textlink="">
      <xdr:nvSpPr>
        <xdr:cNvPr id="4" name="AutoShape 3" descr="data:image/jpeg;base64,/9j/4AAQSkZJRgABAQAAAQABAAD/2wCEAAkGBhQSEBQUEhQVFRUUFh0YGBYYGRcaGhgcHRgaGx4XHBcZHCYeHBklHRYdIC8iJCcpLSwsFh8xNTAqNSYrLCkBCQoKDgwOGg8PGiwkHyUtLCwtNSwsLSwsLDAvLCwsLDQsNCwsLC0sLCwpLCwsLDUsLCwsLCwsLCkpLCwsLCwsLP/AABEIAHABOQMBIgACEQEDEQH/xAAcAAADAAIDAQAAAAAAAAAAAAAABgcEBQECAwj/xABIEAACAQIDBAcEBwYDBgcBAAABAgMAEQQSIQUGBzETQVFhcYGRIjKhsRQjUlNyktEVQmKCosEXQ1QkM5PS4fBEg7Kz4uPxFv/EABsBAQADAQEBAQAAAAAAAAAAAAABAgQDBQYH/8QAMhEAAQQBAgMGBQQCAwAAAAAAAQACAxEEEiEFMUETUWGBkaEUInGx4TJC0fAVwQYjcv/aAAwDAQACEQMRAD8AuNFFFERRRXBNEQTUx4jb4N0n0eByoQ3kdSQS32ARyt10y7971DCQ5UP10oIT+Edb27vnUZP/AO9/fftqj3Vsvp+B8O7Q/ESDYcvHx8k2bhbQmkx8StLKwsxIZ3IOnYTbrFWKo7wvivtAHsib4kVYxUs5LLx4NGVpaK2C5oooqy8JFFFFERRRRREUUUURFFFFERRRRREUUVxeiLmiuM1c0RFFFFERRRRREUUUURFFFFERRRRREUUUURFFFFERRRRREUUUURFYO19qph4XlkNlQX7z2Ad5rMZrVGt/t6vpc2RD9TEdOx2638ByH/WocaC9Hh2CcyYM6df74rT7Qx8uNxOdheSVgqqNbdijuHb4msLEw5HZL3KsVJHaDY/EVS+Hm6vQxnFTD22W6Aj3Ftz8T8rVMDKWOY82JY+JNz865EbWvt8TJZLI6KL9DAB5/hO/CVL4uU9kQ+LVWKmHCGL63EN/Ag+LGqJtPHiGGSU6iNC1u2wvaujeS+R41b81wHgPZZlFTkcYV/0z/nX9KzsHxThaKR3RkZLZUuCXv2dQ17aags7uFZbRZjPsniipvheL93+tw+VL+8smYgdpUqPn61sd5eIxwsqosHSK0YdXLlQ176D2De2mvfU6gjuF5TXhhZufEJ3oqc4TjAub63Dsq9bK4Yj+UqunnfurxxfGA5j0OHBXqZ3sT/KF09ajUFccHzCa0e4/lUyip1svi2pJGJi6MW0ZGLa9hUgH515YnjAc31eGuva8mU+iq3zpqCf4fM1adH2r1VKorQ7rb1pjYWcAoyGzqTe2l736x36VpNtcVIonKQxtMRoWzBUv2X1J8hU2FmZg5D5DE1h1Dn4J5oqb4fjAL/WYYgfwyBj6FV+dNuwt7sPix9U/tDmjaMO+3WO8UsK0/D8mAapGED1+y3RNJ3EPen6PCYoz9dKLac0Xrbx6hWLvjxDOGlaCFAzqoJdjopIvbKBqbW6+uphi8W0sjSSMWdjck9f/AH1VVzqXrcK4Q+RzZph8vMeP4VM4UQu0Usru7ZmyLmZmtlGtrk9Zp+FTDcffhI1gwaQsWLEF8y2JYlma3O3P0rOxfFtUkdBh2YKxXNnAvY2vyqQQAuGbgZM2U/SzxHLlyCoVFImzOK0Uj5ZIzEuUnMWDC4F7WA5nWsCbi+ekOTDXjvzMlmI7cuQgHuv6VOoLKOE5hJboO30VKorV7J3gjxGHE6myWN81hlINiD4Ur7Y4rwxkrAhmI/evlTyNiT6WpYWeLCnmeY2MJI5+CfKKli8X5r64eMjszsD65T8qbN2d+4cYcgvHLa+Rra/hPX86gOBXafheVA3W9u3hR+yZ6KwNs7RMEEkoQyFFLBBza3VyPypC/wAYm/0o/wCN/wDXUkgLljYM+SCYm3XiFTKKnv8Ai/F0dzC4l+xmXKe8P2eV617cXpurDRj/AMxj8clRqC1N4PmO/Z6kKpUVpd195FxmHEoXIQSGUm+Ujv0uO/StPtridh4WKxhpmBsclso/mP8Aa9Taxtw53yGJrTY5+CcqKnuG4vRk/WQSKO0MrW8tD6XrJ2jxWgQr0SNMCLkghbd1mHOlhd/8Vl2G9mf77J5oqfYfi0ruqLhpLswUe2vMm3ZT10h7PjS1wnxJscgSirXvXBNcXpV3131XCLkjs07DQdSD7Tf2HXU8lzggfO8RxiyVq+JW9nRr9GiPtuPrGH7q/Z8T8qQN35IEnVsTcxprlVb5iOQP8NZW7u78m0J2Ge370kjDNqeWlxck/Kmr/B9v9UP+F/8AOuW5NhfZMfh4ERxnvpxG5F3v5eizNq8TMK8EqR9JmZGVboQLkEf3qWqLU4by8PfoeHMxnD2IGXo8t7m3POaUKh19Vs4VFjMjc7GJIJ3vw9FSeEEfs4lv4kHwJ/vT7j40aJxIAUynMDytbrpL4Qr/ALNOe2a3pGn61vN/NodFgJj1uuQeLaf3ro3kvlOINMvEXNHMkD7KIlgbkaA6gdgPIele0mEZY0kI9iQsFPaVNiP++w14nQVb9i7uRfQIYJUVwEBIYdZ1J8bmuYba+s4jnjCawkXZ9v7SiUUJdgii7McqgdZOgpt4hy5DhcN1wQgse9rAD+g+oqk4DdnDYYl4oUQ/atqPAnlUX2/tP6RipZep29n8I0HwF/OpI0hZcTMHEMkOa2msHudv5WXubsn6RjYkI9hT0j+C628zYeF6x95sWsuMndAApkIH8unzFMW456DB47F21Vcid5y3+bCkkCoOwW6EmTLkf0aA0fc/6TNuZh0H0nESKGXDwkgG1ixBsPHT40sjlTVboNjfxYyb+heXkQl/5qViag9yvinXJLJ0uh5fm037twSDZW0JEvr7GnWABmPo1KA5U/nec7NwcGHjQPM8fSPmvlXOSeXWTqPAVpdm4SLaEjJlGHnILIU1jcjUgqeR8D8qsRyCxY07mGWZ7fkJsEdw25c6XfEGCfARph4gMRGR0gt9Ywtqy/aHXYa91aXYaSHFwiIHpRICAAbjUXuOYFtDftrGxOHaORkYZXRrHtBH/dwfCqRw33skmZsPMczBcyOeZANip7baa99QNyrZLn4uO98Y1tNnc8r9bHotTxUaMYiNERQ+XpJGA1JOguevkfhSvsHAdPioYvtyAHwHtH4Kayd78f02OnfmM2UeC+z8xTFwn2bmxEkx/wAtco8W1PwA9ac3KGu+D4dqPPT7lUbD7EgQgpDGpHIhQDytzt2VFd7Agx2IEYAUSWAHL3Vv8bmrljcSI43dtAilj5C9fPU05dmc83YsfM3qz+S8n/jrXPkfIT0A9SvRMIxjeQD2IyoY9mY2Hx+YrwJqr8MdlL9AZnUETu1wRzCnKNOz2TW9w25uDjcOkEYYG4NuR7hTRa2y8eZDK+NzSaNCv9+akePxzx4VMGdBfpZF72N0U+C5Wt2sKwNmYIzTRxDnI4Xw7T6a+VbLfZCNo4m/2x/7aEfCtrwu2b0mMMh5Qpcfia6g+mb1qv7qW8zNhwzOOZGrzP5WVv7uph8Jh4jECHL5bkklhYkk0lYbFmJ0kXnGwYeX/TTzpw4qbSz4tIhyiS5/E2vwFvzUp7OwJmmjiGpkcL5X1+F6H9Wyrw7V8EHTG7BJvuP4Vz2ntIRYR5m5CMt8P1qCZiTc8zqfE1TuKe0QmGiw4OrkE/hSxH9QHpUzhhLsqL7zEKPEm1S82aWPgEIjgdMf3H2CbIMIsGxZJWAz4pwq36gG5jyUmlCnXiRKIxhcInuwxgkeWUfAGk/C4UyyJGObsFHmbX8hr5VB50t/D3ExOnd+4l3l09gmLEbUbD7NhgQ5WxN5XPXkJ9lfPTypYArd76LbHSp1RBI1HYojUj/1H1rSVDu5d8JgEXaDm75j57/bZOO5G4oxaNLMWEfuoF0JI5sT2DlSttDDCOaWMG4jkZAe3KxF/hVh2XiVwmyYnbQJArHvYrfzJY1GHkLMWPNiSfEm5+dS4ABefw3JmyJ5XuPyg0E6cKdm58U8x5RJlH4nI+QU/mFVelPhls3o8Cr9cxL+XIfAU211aKC+V4tP22U89BsPJTXeLiqVaSKCMKyMyF3YaFSRdVHh1keFTybFZ2LM+ZmN2Ym5J7Sa+hG2XEdTGhJ68q/pXH7Kh+6j/Kv6VBaSt+JxfHxW1HDv1N8/ZRvc3fQYF3uudJLXAIBBF7EX0PP4VRJN/wCMYAYwRvlLZApKg3zZdTci1xTB+yYfuo/yr+len0GPLlyLl55bC3jblQAhZMzOxsmQSGIg2L+bmPRRPeffaTG5Q+WNFNwga9z2kkC/pWg6Udo9RX0ONkw/dR/lX9KP2TD91H+Vf0qpZa9KHj0ULAyOKh9fwo/uRvl9Ddky9IkrDQEZg3IEdvhpyrM4i73ieT6OoypC/tEkXZrEWt2C/bzqqjZUIN+jT8q/pXSXBQA3ZIge8L/eraTVLKeK4/xHxBi3/wDXXv5dyhe72DE+LgiBHtSC/gDmb4Kav4rFiw0K+0qxi37wCi3mK8Nl7xYfEs6wSrIU94A8u/wo0UsXE+JDNe01VDldpB304jEmbDQqFAJRpC2p6iFA5dlyan3SqOsV9EHZUJ/yo/yr+lcfsqH7qP8AKv6VBba9HE4zDix6I4vrvzPopbvDOuG2Vh8LmHSSESSC4uL+16XsKTEIYhQRdiAPEmwr6Hk2dExu0aE9pUH+1dV2XEDcRx3B09kfpQstTjccbAwjRZJJJvqfJSPiBMscsGGFguHgUc/3m5/BR6mtDsXC9PiYYgQc8ig+F7n0UE1fJdnxsbtGhJ5kqCfUiiLZ0am6xoCORCgH1tTTvaQ8dEUHZBm9He+p68u9T/iJudK8gxEC5wEVWQe8Mt/aA69Da3dSjuptOLDYxJJw31YbQD2lYi2qnXkTp3irvasTFbKhk/3kaN+JQakt3sLPj8YLYPh5W22q2NGlCt4dqrPipZV9kO1wDztYDXv0pz4cbsSozYmRSn1ZWMEWLZrXax5DQCn7C7DgjN0hjUjrCi/rWdaoDd7V8rjXaQ9hE2hQG5vZfOc4KuyyaOCcwOhvc3rd7rb8NgcwVUkRzcgtlIsOYIB+VWqfARubuiN4qD868hsaD7mP8i/pTTRsLRLx2KePs5YrH1/CQd/t9/qRhgmVpokdySPZVtSnedLdWhqdK2YgAi5Nh4nQV9ESbPjJuY0J7SoP9q6jZkX3aflX9KFtrjh8YixItDI9+u/X0XnsPAiHDxRD9xAvoKzq4Fc1dfPOcXEuPVT/AIj7nvMwxMC5nChXQc2A5MO0i/pSFsXeSXBu/RFVLCzK47O0GxBq+Wrwn2fG+rxo3ioPzqpbvYXuYvF+zh7CZmtqgTSSYqZmAMsshuQouSbd3IWHoKbsFhBsiNcTiEDzyXWOMMAE01u1ufbYd3jUocIiCyKq+AA+VdZsGj++itblmAPzqAyl1n432wEeimdQDufC+gUE25t9sVM0sjLc6BQdFHYPXnWz3Bw6yY5GYjJCplY9QsLC58W+FWT9kw/dR/lX9K7Ls6IAgRoARYjKNR36a0072uknHGGAwxx6RVc+XsoVvPtZZ8ZNKGBDPZdR7qgKPlfzrb8NMB02PVuawqXJ7/dUfEn+Wq5+yYfuo/yr+leWNhWGGVokVWCE6ADkNOVNO9o/jQfB8PGyrGnn5dyTt/8Acl55OngsXsA6XsWtyYd9tO+pziNnSxtleKRT3q3ztasd5S5zuSznUsdTftvVY4W7Skkw0iyFmEb2Rm1NrA2uedjVdnFes50/DMYFxDwNu4j736Kb4uXEdBGspkEINo1a4XQfug6kDq+FYUEBd1Rfedgo8SbX+NNvFDaPSY3owdIUA/mbU/C3rWJw72f0u0I7jSNWkPlZR8WqK3pa48nThnIc0N2JoeysWz8GIoo410EaBR4AAf2rIy0Cua7L85cdRsooooooRXFc1wTRF0kkABJIAAuSeQHbep1vLxeSMlMGolI5ysfYH4QNW+A8aW+Iu/RxMjQQtaBDYkf5pB5/hHV20rbE2PJip0hi95zzPJR1se4D+wqCV5U+W4u0RLPx29uNxbhTNKxblHHcX7gqakeN6y8Lwxx8ozGELf7bAE/OrBuzunDgo8sS3Y+9IR7THvPUO6t2BSldmEXbyE2vnXbO5WKwgLSwkJ1utmXzI5DvNbHhjtPodoxg8pQYz4kXX4i3nV3ZAQQdQedTfa3Cxvp8c2GZI4ukWRl1uhVgxKjkb205UqlR2I6NwfHuqUK5ri9eT4pFYKWUM3ugkXPgOupXqWvaiukkoUEkgAdZ0FeWGx0cl+jdXtzysDb0olhZFFdHlAFybAdZrFXbMBNhNET2B1v6XolhZtFdc9eMu0I1NmkRT2FgD6E0SwsiisT9qw/ex/nX9a90mBFwQQesaj1olhelFYh2rF97H+Zf1rtHtGNjZZEJPUGUn0Boo1DvWTRXlNiFQXZgo7SQB8a8f2tD97H+df1opsLLorosgIuNQeuseba0KGzyxqewsoPoTRLAWXRXSOYMLqQQeRBuK7Xoptc0V1L2F66QYlXF0YMO0EEad4olr1orGm2lEjBXkRWPIFgD6E17l9L0UWF2rpIgIIOoOhrF/bMF7dNFfszrf0vXXae24cOgeaRUUmwJPPw7aKNQG9qYbz8Op4nZ8OvSxEkhR7y36rdY7x6Vptn7wYvCKY0LxgnVWQjXuzDSrnHIGAYG4IuCORB5GuwWq6F9DHxxxjEc7A8eP9KgMGy8TiZCVilkZjcsVIBJ6yxAFVLcPdBsGjPKQZZbXA5KBey36zqbnvpttRagaAuObxiTKZ2QAa3wQK5ooqy8ZFFFFERSnxL24cNgHymzyno17deZ/LemypZxvkP+yL1HpT5jowPgTRZ8p5ZESFLQKrPBnYwEUuJI1dsi/hXn/Ubfy1JhV74ZAfsuC3Y1/HMb/GqheVgt1S33JpFeOJxiRi7sqjtYgD1Ne1Tfi/u40sa4oOMsK5TGRzzMPaU9R6iLchVl7EryxhcBaev27h/v4vzr+tcrtmA8poyewOpPoDXzRlFPu4XDhsR0WKlYJGrh1QC7PlNwb8lFx33FRawx5r5HaWtWbvJxgZ7pg1yry6VvePeqch4m/hSpu5tkJjRi8SzSNEGcXN2drEKtzyF2PcLVkcR1iG0ZVhVVChQQosM1rk2HiPStvww3LTFFp5xmjjbKqHkzWBJPaBcDxPdULKTLJNpuyPRLW8e9U+OfNM3s39mIH2F8us95rc7r7ZGzMO81g0+JAEUfICMX+tfuLXsOu3nTzvtuJhpI1m9mBcOC0mRB7cYFyuhFjpodeZ7aju0ce00jSNpm5KOSgCwUdwAtRRKHwv1ONnonLY272L20WlxE5WJWsNLi45hEvlFr+9r51ib68OGwKCVH6WImxuoDITyv1EE+FVncrBCLZ+GUD/KBPidSfU16b3YIS4HEoeuF7eIUkH1AqaW04rXRWf1Vaiu6u/E+CdQGLw39qIkkW68v2T8KN99g9FKs6v0sWLvKjkai+pU+FxY9nhS4Kd8Zhi+72Hc/5U7gfhLsvpc/CoXnMcXsLT03CUtkbLOInihWwMrhbkaC/XbrsKuEO5Sw7MkwccrDOrXkNubak5Rb2dLW7OvrqK7v4jo8Xh3+zMh/rFVHirvd0MX0WI/WSr7ZB1VD/duXhepC0YpY2NznKPyQgEgWIBIuOR15juNPfDTcRcSVxTvZIpNEA1ZlsbluoajQc6R5YGW2YEXUML9YIuD4Ea1VOD+0lTCYnOwVY3zknkBl1P8ATUBccUAy/MuvGrAgxwSltQxTJ1G4vm8Rb41PNj7vdMskrssUEXvykXsTyRV0zOeVr9dbjbe0pdr7QVI/dJyRD7Kdbn0ufIVzv1iFiZMDD/usKPaP25WF2Y+F7eZorzEPc6Tpy+pXbZGNxOL6PAYJmigUN165SxZnkYW5lvdWw1trW12/wi+j4V5o5jI8almUoAGA55bEkEDWxve3VXlwt25hsIMRJiJAjHKBfmQL6C2p1ra7f4qLiEfD4OCSRpFK5iNbEWusYBY8+u1Nl0YIzHchsnkkDd7eObBSB4WIF7tH+647COV+/nVg2/xHhw2GhlCmRsQmeNAbaWGrMeQF7cjU72Vwsxs1iyrCva51/Kt6cd7NiR4PYfRSBZXjARHKgHM8lyV5kWuTa/JaKYO2Yxx5Cuqnu8e+2JxpIkbLGf8AKW4Xz628/Sth/wD2zYbARYTCnK2XNLKOeZyWKL3i9ie7TtpY2dgWmlSJPekYKPPrq77H3BwkEHRmJJCVszuAWbtOvLyoucDZZiSD5qGbOwHTzWYmxzPI51IVRdnJPM26z1kVsd5N7psYcrMVhWwSIHSw5FvtN4+VUzBcMlhwuLiWTNJiFKq5Fsq81TmdO09dSDaWzpMPKY5kKOvUevvHaO8UXOWOSFu/XmnTd/hL9Jw0cxxKr0ihgqx57X6ic417RbSsPb3CvFYZSyWnQc8gIYD8Bv8AAmlvZW258M2aCVoyedjofFToafNhcYpAQuLjDL1yJow7ynI+VvPlTZXjOO8U6we9MPCPa7S4Ixt/4dujB/htcDyvbyp6rD2biIpI1khylJPaDLyN+vxrMqy9mJulgF2iiiii6IooooiKKKKIik7ifu42Kwl4xeSFs6gc2FrMo8tfKnGupoqSMD2lpXy4DVD4Y77phgcNiGyxs2ZHPJSeansBOt+0mmjevhbFimMkLdDKdTYXRj2ldLHvHxpDx3CzHRn2Y1kHajD5Naq0vGEM2O/U0WrhDiVdcysGB6wQR6ipxxf3jQwpho3DMzhnAN8qrqL25Etb0NI/+HOP/wBI3rH/AM1dhw7x/wDpX9Y/+alrtLkSvYWhhCXlW5sOZ0FfSWz4Vw2ERTYLDELnqGVdTUUw/DTHsbdBl72ZQPgTTVt/dnajwQ4ZXEkaxASHMAXa5urE6lQLAdvXUhUxdcQcS0qbbSx5mmklPORy/gCbgeQ0q8bgbOEOzoF62XOfFzmPzt5VKv8AC7H/AHS/nWqjuBszEwYTo8WQWVrIt75UsAFJHPW/lagV8NjmyEuad124jX/ZmJt9kX8MwvUANfT+LwyyIyOAVdSrA8iCLEehqObw8JsRE7HDWmj5gXAdf4TfQ27b0IVs6F7iHN3VH3C2kJtnYdgdVQI3cy6H9fOud+trLh8BOxNmZGRO9mBA9L38qlewYdq4JmEEEoDHVSmZSeV+wHvvWwxO5+1doSB8TZANBnIAUfwot/1orDIcY9Iab5JFwmFaR0jjGZ3IVR2k1bNt7uCHYcmHXUxQZr9rL7ZPmQfWsjc/cCLA+1fpZiNZCLW7lXWw8ye+mXERBkZTyZSPUWoApx8UsadXMhfMUb2II5ggjypp3T2JJtPHF5SSoIeZu0cgnnlt3AGujcNMeGKiC4vYNmSxHUed7VX9zt2VwWFWIWLn2pG+0x/sOQ8KgBZMfGc51OFBS/i9hMmPUgWDQJb+VnHytSlBtB1ikiU2SUrnHblNwPX5VVeKe6k+KeB8PHnKBlYXAOpBB18D61rNw+Gkq4gTYxAqx6pGSCWbqJtcWHPxt2UpTLA905DRzTHw13P+iQdLKPrpRc/wL1J49Z/6VJN6AfpuJzc+la/rX0hapzv9w2bESnEYYjpG9+M6BiNAwPUbcx12HnJWrJxz2Qawckn8NtnYWfFGPFAMSt41JIViL3B7Tbq7jVtwWz44VyxIqL2KAPlXz9NufjUbXDTXB5qpbXtBW/rTHs7Z225FCBp0Xld2C28z7dAuGNIYxpLDf0VR23vPh8Lbp5Apa1l5sbm18o1t30i8ZtrApBAp94mQjuAsL+p9DXrs3he8CPO7LiMWAWjVr5A9tCxOrkc7m3IeNLWP4f7TnkaSVA7tzYuvp3AdlCu075XMLdPNefCnZ/SbSRjyhRpPPRAP67+VXOpBujuLtDDYyKSwjUGznMDdOtbdd7Cq+KBdMJpayiK3SbtniEMLtEYaaMLCVB6a+oJvqVt7txbnTLisDDiYwHVJUIuLgMPEGkjjHsTPBHiFFzEcrfgbr8mt60pbA2DtWKES4QSKjahAwFwf3ujfTX1oqumeyQscLHNNG9XCiHo3lwz9CVBYo2qEAXte918dR3VJQacNqftjEDoplxDL1qEyqfEqACPE2rN3d4TYiVg2J+pj5lbguR2aaC/beoKwyx9q/wD62EJx4RRsNnAnkZHK+F7elwad6x8Fg1ijWOMBURQqgdQA5VkCrL2omaGBvciiiii6Iooooi//2Q==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D760AE-D6B1-4007-B490-E1EC891E711D}"/>
            </a:ext>
          </a:extLst>
        </xdr:cNvPr>
        <xdr:cNvSpPr>
          <a:spLocks noChangeAspect="1" noChangeArrowheads="1"/>
        </xdr:cNvSpPr>
      </xdr:nvSpPr>
      <xdr:spPr bwMode="auto">
        <a:xfrm>
          <a:off x="2919413" y="857250"/>
          <a:ext cx="304800" cy="3073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304800</xdr:colOff>
      <xdr:row>4</xdr:row>
      <xdr:rowOff>307398</xdr:rowOff>
    </xdr:to>
    <xdr:sp macro="" textlink="">
      <xdr:nvSpPr>
        <xdr:cNvPr id="5" name="AutoShape 5" descr="data:image/jpeg;base64,/9j/4AAQSkZJRgABAQAAAQABAAD/2wCEAAkGBhQSEBQUEhQVFRUUFh0YGBYYGRcaGhgcHRgaGx4XHBcZHCYeHBklHRYdIC8iJCcpLSwsFh8xNTAqNSYrLCkBCQoKDgwOGg8PGiwkHyUtLCwtNSwsLSwsLDAvLCwsLDQsNCwsLC0sLCwpLCwsLDUsLCwsLCwsLCkpLCwsLCwsLP/AABEIAHABOQMBIgACEQEDEQH/xAAcAAADAAIDAQAAAAAAAAAAAAAABgcEBQECAwj/xABIEAACAQIDBAcEBwYDBgcBAAABAgMAEQQSIQUGBzETQVFhcYGRIjKhsRQjUlNyktEVQmKCosEXQ1QkM5PS4fBEg7Kz4uPxFv/EABsBAQADAQEBAQAAAAAAAAAAAAABAgQDBQYH/8QAMhEAAQQBAgMGBQQCAwAAAAAAAQACAxEEEiEFMUETUWGBkaEUInGx4TJC0fAVwQYjcv/aAAwDAQACEQMRAD8AuNFFFERRRXBNEQTUx4jb4N0n0eByoQ3kdSQS32ARyt10y7971DCQ5UP10oIT+Edb27vnUZP/AO9/fftqj3Vsvp+B8O7Q/ESDYcvHx8k2bhbQmkx8StLKwsxIZ3IOnYTbrFWKo7wvivtAHsib4kVYxUs5LLx4NGVpaK2C5oooqy8JFFFFERRRRREUUUURFFFFERRRRREUUVxeiLmiuM1c0RFFFFERRRRREUUUURFFFFERRRRREUUUURFFFFERRRRREUUUURFYO19qph4XlkNlQX7z2Ad5rMZrVGt/t6vpc2RD9TEdOx2638ByH/WocaC9Hh2CcyYM6df74rT7Qx8uNxOdheSVgqqNbdijuHb4msLEw5HZL3KsVJHaDY/EVS+Hm6vQxnFTD22W6Aj3Ftz8T8rVMDKWOY82JY+JNz865EbWvt8TJZLI6KL9DAB5/hO/CVL4uU9kQ+LVWKmHCGL63EN/Ag+LGqJtPHiGGSU6iNC1u2wvaujeS+R41b81wHgPZZlFTkcYV/0z/nX9KzsHxThaKR3RkZLZUuCXv2dQ17aags7uFZbRZjPsniipvheL93+tw+VL+8smYgdpUqPn61sd5eIxwsqosHSK0YdXLlQ176D2De2mvfU6gjuF5TXhhZufEJ3oqc4TjAub63Dsq9bK4Yj+UqunnfurxxfGA5j0OHBXqZ3sT/KF09ajUFccHzCa0e4/lUyip1svi2pJGJi6MW0ZGLa9hUgH515YnjAc31eGuva8mU+iq3zpqCf4fM1adH2r1VKorQ7rb1pjYWcAoyGzqTe2l736x36VpNtcVIonKQxtMRoWzBUv2X1J8hU2FmZg5D5DE1h1Dn4J5oqb4fjAL/WYYgfwyBj6FV+dNuwt7sPix9U/tDmjaMO+3WO8UsK0/D8mAapGED1+y3RNJ3EPen6PCYoz9dKLac0Xrbx6hWLvjxDOGlaCFAzqoJdjopIvbKBqbW6+uphi8W0sjSSMWdjck9f/AH1VVzqXrcK4Q+RzZph8vMeP4VM4UQu0Usru7ZmyLmZmtlGtrk9Zp+FTDcffhI1gwaQsWLEF8y2JYlma3O3P0rOxfFtUkdBh2YKxXNnAvY2vyqQQAuGbgZM2U/SzxHLlyCoVFImzOK0Uj5ZIzEuUnMWDC4F7WA5nWsCbi+ekOTDXjvzMlmI7cuQgHuv6VOoLKOE5hJboO30VKorV7J3gjxGHE6myWN81hlINiD4Ur7Y4rwxkrAhmI/evlTyNiT6WpYWeLCnmeY2MJI5+CfKKli8X5r64eMjszsD65T8qbN2d+4cYcgvHLa+Rra/hPX86gOBXafheVA3W9u3hR+yZ6KwNs7RMEEkoQyFFLBBza3VyPypC/wAYm/0o/wCN/wDXUkgLljYM+SCYm3XiFTKKnv8Ai/F0dzC4l+xmXKe8P2eV617cXpurDRj/AMxj8clRqC1N4PmO/Z6kKpUVpd195FxmHEoXIQSGUm+Ujv0uO/StPtridh4WKxhpmBsclso/mP8Aa9Taxtw53yGJrTY5+CcqKnuG4vRk/WQSKO0MrW8tD6XrJ2jxWgQr0SNMCLkghbd1mHOlhd/8Vl2G9mf77J5oqfYfi0ruqLhpLswUe2vMm3ZT10h7PjS1wnxJscgSirXvXBNcXpV3131XCLkjs07DQdSD7Tf2HXU8lzggfO8RxiyVq+JW9nRr9GiPtuPrGH7q/Z8T8qQN35IEnVsTcxprlVb5iOQP8NZW7u78m0J2Ge370kjDNqeWlxck/Kmr/B9v9UP+F/8AOuW5NhfZMfh4ERxnvpxG5F3v5eizNq8TMK8EqR9JmZGVboQLkEf3qWqLU4by8PfoeHMxnD2IGXo8t7m3POaUKh19Vs4VFjMjc7GJIJ3vw9FSeEEfs4lv4kHwJ/vT7j40aJxIAUynMDytbrpL4Qr/ALNOe2a3pGn61vN/NodFgJj1uuQeLaf3ro3kvlOINMvEXNHMkD7KIlgbkaA6gdgPIele0mEZY0kI9iQsFPaVNiP++w14nQVb9i7uRfQIYJUVwEBIYdZ1J8bmuYba+s4jnjCawkXZ9v7SiUUJdgii7McqgdZOgpt4hy5DhcN1wQgse9rAD+g+oqk4DdnDYYl4oUQ/atqPAnlUX2/tP6RipZep29n8I0HwF/OpI0hZcTMHEMkOa2msHudv5WXubsn6RjYkI9hT0j+C628zYeF6x95sWsuMndAApkIH8unzFMW456DB47F21Vcid5y3+bCkkCoOwW6EmTLkf0aA0fc/6TNuZh0H0nESKGXDwkgG1ixBsPHT40sjlTVboNjfxYyb+heXkQl/5qViag9yvinXJLJ0uh5fm037twSDZW0JEvr7GnWABmPo1KA5U/nec7NwcGHjQPM8fSPmvlXOSeXWTqPAVpdm4SLaEjJlGHnILIU1jcjUgqeR8D8qsRyCxY07mGWZ7fkJsEdw25c6XfEGCfARph4gMRGR0gt9Ywtqy/aHXYa91aXYaSHFwiIHpRICAAbjUXuOYFtDftrGxOHaORkYZXRrHtBH/dwfCqRw33skmZsPMczBcyOeZANip7baa99QNyrZLn4uO98Y1tNnc8r9bHotTxUaMYiNERQ+XpJGA1JOguevkfhSvsHAdPioYvtyAHwHtH4Kayd78f02OnfmM2UeC+z8xTFwn2bmxEkx/wAtco8W1PwA9ac3KGu+D4dqPPT7lUbD7EgQgpDGpHIhQDytzt2VFd7Agx2IEYAUSWAHL3Vv8bmrljcSI43dtAilj5C9fPU05dmc83YsfM3qz+S8n/jrXPkfIT0A9SvRMIxjeQD2IyoY9mY2Hx+YrwJqr8MdlL9AZnUETu1wRzCnKNOz2TW9w25uDjcOkEYYG4NuR7hTRa2y8eZDK+NzSaNCv9+akePxzx4VMGdBfpZF72N0U+C5Wt2sKwNmYIzTRxDnI4Xw7T6a+VbLfZCNo4m/2x/7aEfCtrwu2b0mMMh5Qpcfia6g+mb1qv7qW8zNhwzOOZGrzP5WVv7uph8Jh4jECHL5bkklhYkk0lYbFmJ0kXnGwYeX/TTzpw4qbSz4tIhyiS5/E2vwFvzUp7OwJmmjiGpkcL5X1+F6H9Wyrw7V8EHTG7BJvuP4Vz2ntIRYR5m5CMt8P1qCZiTc8zqfE1TuKe0QmGiw4OrkE/hSxH9QHpUzhhLsqL7zEKPEm1S82aWPgEIjgdMf3H2CbIMIsGxZJWAz4pwq36gG5jyUmlCnXiRKIxhcInuwxgkeWUfAGk/C4UyyJGObsFHmbX8hr5VB50t/D3ExOnd+4l3l09gmLEbUbD7NhgQ5WxN5XPXkJ9lfPTypYArd76LbHSp1RBI1HYojUj/1H1rSVDu5d8JgEXaDm75j57/bZOO5G4oxaNLMWEfuoF0JI5sT2DlSttDDCOaWMG4jkZAe3KxF/hVh2XiVwmyYnbQJArHvYrfzJY1GHkLMWPNiSfEm5+dS4ABefw3JmyJ5XuPyg0E6cKdm58U8x5RJlH4nI+QU/mFVelPhls3o8Cr9cxL+XIfAU211aKC+V4tP22U89BsPJTXeLiqVaSKCMKyMyF3YaFSRdVHh1keFTybFZ2LM+ZmN2Ym5J7Sa+hG2XEdTGhJ68q/pXH7Kh+6j/Kv6VBaSt+JxfHxW1HDv1N8/ZRvc3fQYF3uudJLXAIBBF7EX0PP4VRJN/wCMYAYwRvlLZApKg3zZdTci1xTB+yYfuo/yr+len0GPLlyLl55bC3jblQAhZMzOxsmQSGIg2L+bmPRRPeffaTG5Q+WNFNwga9z2kkC/pWg6Udo9RX0ONkw/dR/lX9KP2TD91H+Vf0qpZa9KHj0ULAyOKh9fwo/uRvl9Ddky9IkrDQEZg3IEdvhpyrM4i73ieT6OoypC/tEkXZrEWt2C/bzqqjZUIN+jT8q/pXSXBQA3ZIge8L/eraTVLKeK4/xHxBi3/wDXXv5dyhe72DE+LgiBHtSC/gDmb4Kav4rFiw0K+0qxi37wCi3mK8Nl7xYfEs6wSrIU94A8u/wo0UsXE+JDNe01VDldpB304jEmbDQqFAJRpC2p6iFA5dlyan3SqOsV9EHZUJ/yo/yr+lcfsqH7qP8AKv6VBba9HE4zDix6I4vrvzPopbvDOuG2Vh8LmHSSESSC4uL+16XsKTEIYhQRdiAPEmwr6Hk2dExu0aE9pUH+1dV2XEDcRx3B09kfpQstTjccbAwjRZJJJvqfJSPiBMscsGGFguHgUc/3m5/BR6mtDsXC9PiYYgQc8ig+F7n0UE1fJdnxsbtGhJ5kqCfUiiLZ0am6xoCORCgH1tTTvaQ8dEUHZBm9He+p68u9T/iJudK8gxEC5wEVWQe8Mt/aA69Da3dSjuptOLDYxJJw31YbQD2lYi2qnXkTp3irvasTFbKhk/3kaN+JQakt3sLPj8YLYPh5W22q2NGlCt4dqrPipZV9kO1wDztYDXv0pz4cbsSozYmRSn1ZWMEWLZrXax5DQCn7C7DgjN0hjUjrCi/rWdaoDd7V8rjXaQ9hE2hQG5vZfOc4KuyyaOCcwOhvc3rd7rb8NgcwVUkRzcgtlIsOYIB+VWqfARubuiN4qD868hsaD7mP8i/pTTRsLRLx2KePs5YrH1/CQd/t9/qRhgmVpokdySPZVtSnedLdWhqdK2YgAi5Nh4nQV9ESbPjJuY0J7SoP9q6jZkX3aflX9KFtrjh8YixItDI9+u/X0XnsPAiHDxRD9xAvoKzq4Fc1dfPOcXEuPVT/AIj7nvMwxMC5nChXQc2A5MO0i/pSFsXeSXBu/RFVLCzK47O0GxBq+Wrwn2fG+rxo3ioPzqpbvYXuYvF+zh7CZmtqgTSSYqZmAMsshuQouSbd3IWHoKbsFhBsiNcTiEDzyXWOMMAE01u1ufbYd3jUocIiCyKq+AA+VdZsGj++itblmAPzqAyl1n432wEeimdQDufC+gUE25t9sVM0sjLc6BQdFHYPXnWz3Bw6yY5GYjJCplY9QsLC58W+FWT9kw/dR/lX9K7Ls6IAgRoARYjKNR36a0072uknHGGAwxx6RVc+XsoVvPtZZ8ZNKGBDPZdR7qgKPlfzrb8NMB02PVuawqXJ7/dUfEn+Wq5+yYfuo/yr+leWNhWGGVokVWCE6ADkNOVNO9o/jQfB8PGyrGnn5dyTt/8Acl55OngsXsA6XsWtyYd9tO+pziNnSxtleKRT3q3ztasd5S5zuSznUsdTftvVY4W7Skkw0iyFmEb2Rm1NrA2uedjVdnFes50/DMYFxDwNu4j736Kb4uXEdBGspkEINo1a4XQfug6kDq+FYUEBd1Rfedgo8SbX+NNvFDaPSY3owdIUA/mbU/C3rWJw72f0u0I7jSNWkPlZR8WqK3pa48nThnIc0N2JoeysWz8GIoo410EaBR4AAf2rIy0Cua7L85cdRsooooooRXFc1wTRF0kkABJIAAuSeQHbep1vLxeSMlMGolI5ysfYH4QNW+A8aW+Iu/RxMjQQtaBDYkf5pB5/hHV20rbE2PJip0hi95zzPJR1se4D+wqCV5U+W4u0RLPx29uNxbhTNKxblHHcX7gqakeN6y8Lwxx8ozGELf7bAE/OrBuzunDgo8sS3Y+9IR7THvPUO6t2BSldmEXbyE2vnXbO5WKwgLSwkJ1utmXzI5DvNbHhjtPodoxg8pQYz4kXX4i3nV3ZAQQdQedTfa3Cxvp8c2GZI4ukWRl1uhVgxKjkb205UqlR2I6NwfHuqUK5ri9eT4pFYKWUM3ugkXPgOupXqWvaiukkoUEkgAdZ0FeWGx0cl+jdXtzysDb0olhZFFdHlAFybAdZrFXbMBNhNET2B1v6XolhZtFdc9eMu0I1NmkRT2FgD6E0SwsiisT9qw/ex/nX9a90mBFwQQesaj1olhelFYh2rF97H+Zf1rtHtGNjZZEJPUGUn0Boo1DvWTRXlNiFQXZgo7SQB8a8f2tD97H+df1opsLLorosgIuNQeuseba0KGzyxqewsoPoTRLAWXRXSOYMLqQQeRBuK7Xoptc0V1L2F66QYlXF0YMO0EEad4olr1orGm2lEjBXkRWPIFgD6E17l9L0UWF2rpIgIIOoOhrF/bMF7dNFfszrf0vXXae24cOgeaRUUmwJPPw7aKNQG9qYbz8Op4nZ8OvSxEkhR7y36rdY7x6Vptn7wYvCKY0LxgnVWQjXuzDSrnHIGAYG4IuCORB5GuwWq6F9DHxxxjEc7A8eP9KgMGy8TiZCVilkZjcsVIBJ6yxAFVLcPdBsGjPKQZZbXA5KBey36zqbnvpttRagaAuObxiTKZ2QAa3wQK5ooqy8ZFFFFERSnxL24cNgHymzyno17deZ/LemypZxvkP+yL1HpT5jowPgTRZ8p5ZESFLQKrPBnYwEUuJI1dsi/hXn/Ubfy1JhV74ZAfsuC3Y1/HMb/GqheVgt1S33JpFeOJxiRi7sqjtYgD1Ne1Tfi/u40sa4oOMsK5TGRzzMPaU9R6iLchVl7EryxhcBaev27h/v4vzr+tcrtmA8poyewOpPoDXzRlFPu4XDhsR0WKlYJGrh1QC7PlNwb8lFx33FRawx5r5HaWtWbvJxgZ7pg1yry6VvePeqch4m/hSpu5tkJjRi8SzSNEGcXN2drEKtzyF2PcLVkcR1iG0ZVhVVChQQosM1rk2HiPStvww3LTFFp5xmjjbKqHkzWBJPaBcDxPdULKTLJNpuyPRLW8e9U+OfNM3s39mIH2F8us95rc7r7ZGzMO81g0+JAEUfICMX+tfuLXsOu3nTzvtuJhpI1m9mBcOC0mRB7cYFyuhFjpodeZ7aju0ce00jSNpm5KOSgCwUdwAtRRKHwv1ONnonLY272L20WlxE5WJWsNLi45hEvlFr+9r51ib68OGwKCVH6WImxuoDITyv1EE+FVncrBCLZ+GUD/KBPidSfU16b3YIS4HEoeuF7eIUkH1AqaW04rXRWf1Vaiu6u/E+CdQGLw39qIkkW68v2T8KN99g9FKs6v0sWLvKjkai+pU+FxY9nhS4Kd8Zhi+72Hc/5U7gfhLsvpc/CoXnMcXsLT03CUtkbLOInihWwMrhbkaC/XbrsKuEO5Sw7MkwccrDOrXkNubak5Rb2dLW7OvrqK7v4jo8Xh3+zMh/rFVHirvd0MX0WI/WSr7ZB1VD/duXhepC0YpY2NznKPyQgEgWIBIuOR15juNPfDTcRcSVxTvZIpNEA1ZlsbluoajQc6R5YGW2YEXUML9YIuD4Ea1VOD+0lTCYnOwVY3zknkBl1P8ATUBccUAy/MuvGrAgxwSltQxTJ1G4vm8Rb41PNj7vdMskrssUEXvykXsTyRV0zOeVr9dbjbe0pdr7QVI/dJyRD7Kdbn0ufIVzv1iFiZMDD/usKPaP25WF2Y+F7eZorzEPc6Tpy+pXbZGNxOL6PAYJmigUN165SxZnkYW5lvdWw1trW12/wi+j4V5o5jI8almUoAGA55bEkEDWxve3VXlwt25hsIMRJiJAjHKBfmQL6C2p1ra7f4qLiEfD4OCSRpFK5iNbEWusYBY8+u1Nl0YIzHchsnkkDd7eObBSB4WIF7tH+647COV+/nVg2/xHhw2GhlCmRsQmeNAbaWGrMeQF7cjU72Vwsxs1iyrCva51/Kt6cd7NiR4PYfRSBZXjARHKgHM8lyV5kWuTa/JaKYO2Yxx5Cuqnu8e+2JxpIkbLGf8AKW4Xz628/Sth/wD2zYbARYTCnK2XNLKOeZyWKL3i9ie7TtpY2dgWmlSJPekYKPPrq77H3BwkEHRmJJCVszuAWbtOvLyoucDZZiSD5qGbOwHTzWYmxzPI51IVRdnJPM26z1kVsd5N7psYcrMVhWwSIHSw5FvtN4+VUzBcMlhwuLiWTNJiFKq5Fsq81TmdO09dSDaWzpMPKY5kKOvUevvHaO8UXOWOSFu/XmnTd/hL9Jw0cxxKr0ihgqx57X6ic417RbSsPb3CvFYZSyWnQc8gIYD8Bv8AAmlvZW258M2aCVoyedjofFToafNhcYpAQuLjDL1yJow7ynI+VvPlTZXjOO8U6we9MPCPa7S4Ixt/4dujB/htcDyvbyp6rD2biIpI1khylJPaDLyN+vxrMqy9mJulgF2iiiii6IooooiKKKKIik7ifu42Kwl4xeSFs6gc2FrMo8tfKnGupoqSMD2lpXy4DVD4Y77phgcNiGyxs2ZHPJSeansBOt+0mmjevhbFimMkLdDKdTYXRj2ldLHvHxpDx3CzHRn2Y1kHajD5Naq0vGEM2O/U0WrhDiVdcysGB6wQR6ipxxf3jQwpho3DMzhnAN8qrqL25Etb0NI/+HOP/wBI3rH/AM1dhw7x/wDpX9Y/+alrtLkSvYWhhCXlW5sOZ0FfSWz4Vw2ERTYLDELnqGVdTUUw/DTHsbdBl72ZQPgTTVt/dnajwQ4ZXEkaxASHMAXa5urE6lQLAdvXUhUxdcQcS0qbbSx5mmklPORy/gCbgeQ0q8bgbOEOzoF62XOfFzmPzt5VKv8AC7H/AHS/nWqjuBszEwYTo8WQWVrIt75UsAFJHPW/lagV8NjmyEuad124jX/ZmJt9kX8MwvUANfT+LwyyIyOAVdSrA8iCLEehqObw8JsRE7HDWmj5gXAdf4TfQ27b0IVs6F7iHN3VH3C2kJtnYdgdVQI3cy6H9fOud+trLh8BOxNmZGRO9mBA9L38qlewYdq4JmEEEoDHVSmZSeV+wHvvWwxO5+1doSB8TZANBnIAUfwot/1orDIcY9Iab5JFwmFaR0jjGZ3IVR2k1bNt7uCHYcmHXUxQZr9rL7ZPmQfWsjc/cCLA+1fpZiNZCLW7lXWw8ye+mXERBkZTyZSPUWoApx8UsadXMhfMUb2II5ggjypp3T2JJtPHF5SSoIeZu0cgnnlt3AGujcNMeGKiC4vYNmSxHUed7VX9zt2VwWFWIWLn2pG+0x/sOQ8KgBZMfGc51OFBS/i9hMmPUgWDQJb+VnHytSlBtB1ikiU2SUrnHblNwPX5VVeKe6k+KeB8PHnKBlYXAOpBB18D61rNw+Gkq4gTYxAqx6pGSCWbqJtcWHPxt2UpTLA905DRzTHw13P+iQdLKPrpRc/wL1J49Z/6VJN6AfpuJzc+la/rX0hapzv9w2bESnEYYjpG9+M6BiNAwPUbcx12HnJWrJxz2Qawckn8NtnYWfFGPFAMSt41JIViL3B7Tbq7jVtwWz44VyxIqL2KAPlXz9NufjUbXDTXB5qpbXtBW/rTHs7Z225FCBp0Xld2C28z7dAuGNIYxpLDf0VR23vPh8Lbp5Apa1l5sbm18o1t30i8ZtrApBAp94mQjuAsL+p9DXrs3he8CPO7LiMWAWjVr5A9tCxOrkc7m3IeNLWP4f7TnkaSVA7tzYuvp3AdlCu075XMLdPNefCnZ/SbSRjyhRpPPRAP67+VXOpBujuLtDDYyKSwjUGznMDdOtbdd7Cq+KBdMJpayiK3SbtniEMLtEYaaMLCVB6a+oJvqVt7txbnTLisDDiYwHVJUIuLgMPEGkjjHsTPBHiFFzEcrfgbr8mt60pbA2DtWKES4QSKjahAwFwf3ujfTX1oqumeyQscLHNNG9XCiHo3lwz9CVBYo2qEAXte918dR3VJQacNqftjEDoplxDL1qEyqfEqACPE2rN3d4TYiVg2J+pj5lbguR2aaC/beoKwyx9q/wD62EJx4RRsNnAnkZHK+F7elwad6x8Fg1ijWOMBURQqgdQA5VkCrL2omaGBvciiiii6Iooooi//2Q==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3DF819B-7706-447B-B4F5-4385CB5D548B}"/>
            </a:ext>
          </a:extLst>
        </xdr:cNvPr>
        <xdr:cNvSpPr>
          <a:spLocks noChangeAspect="1" noChangeArrowheads="1"/>
        </xdr:cNvSpPr>
      </xdr:nvSpPr>
      <xdr:spPr bwMode="auto">
        <a:xfrm>
          <a:off x="2919413" y="857250"/>
          <a:ext cx="304800" cy="3073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2685335</xdr:colOff>
      <xdr:row>4</xdr:row>
      <xdr:rowOff>190500</xdr:rowOff>
    </xdr:from>
    <xdr:to>
      <xdr:col>5</xdr:col>
      <xdr:colOff>3683795</xdr:colOff>
      <xdr:row>5</xdr:row>
      <xdr:rowOff>315976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C187174E-55A4-4CCE-98D3-82105E229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4748" y="1047750"/>
          <a:ext cx="998460" cy="506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2640400</xdr:colOff>
      <xdr:row>0</xdr:row>
      <xdr:rowOff>41042</xdr:rowOff>
    </xdr:from>
    <xdr:to>
      <xdr:col>5</xdr:col>
      <xdr:colOff>3692389</xdr:colOff>
      <xdr:row>3</xdr:row>
      <xdr:rowOff>346364</xdr:rowOff>
    </xdr:to>
    <xdr:pic>
      <xdr:nvPicPr>
        <xdr:cNvPr id="7" name="Picture 6" descr="http://t0.gstatic.com/images?q=tbn:ANd9GcRpSD5w9-Ld4f2vTSjiKz_YU_qrBemAAj3FIbLS7fVbOI5OR3ejXw">
          <a:extLst>
            <a:ext uri="{FF2B5EF4-FFF2-40B4-BE49-F238E27FC236}">
              <a16:creationId xmlns:a16="http://schemas.microsoft.com/office/drawing/2014/main" id="{CEDFD5A9-A945-46E0-8DBB-C75807E1D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9813" y="41042"/>
          <a:ext cx="1051989" cy="7815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142875</xdr:colOff>
          <xdr:row>0</xdr:row>
          <xdr:rowOff>28575</xdr:rowOff>
        </xdr:from>
        <xdr:to>
          <xdr:col>20</xdr:col>
          <xdr:colOff>323850</xdr:colOff>
          <xdr:row>2</xdr:row>
          <xdr:rowOff>209550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5281E5C9-2D58-43E1-8F68-12E1FD96DD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Go to source sheet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142875</xdr:colOff>
          <xdr:row>4</xdr:row>
          <xdr:rowOff>95250</xdr:rowOff>
        </xdr:from>
        <xdr:to>
          <xdr:col>20</xdr:col>
          <xdr:colOff>323850</xdr:colOff>
          <xdr:row>5</xdr:row>
          <xdr:rowOff>85725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783ECB89-046A-498A-B6A3-694FC6D00D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page preview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142875</xdr:colOff>
          <xdr:row>3</xdr:row>
          <xdr:rowOff>19050</xdr:rowOff>
        </xdr:from>
        <xdr:to>
          <xdr:col>20</xdr:col>
          <xdr:colOff>323850</xdr:colOff>
          <xdr:row>4</xdr:row>
          <xdr:rowOff>0</xdr:rowOff>
        </xdr:to>
        <xdr:sp macro="" textlink="">
          <xdr:nvSpPr>
            <xdr:cNvPr id="1027" name="CopyDataToTarget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A9B869D-3A33-4775-9E8A-FE36F53914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Refresh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114300</xdr:colOff>
          <xdr:row>9</xdr:row>
          <xdr:rowOff>228600</xdr:rowOff>
        </xdr:from>
        <xdr:to>
          <xdr:col>21</xdr:col>
          <xdr:colOff>142875</xdr:colOff>
          <xdr:row>17</xdr:row>
          <xdr:rowOff>19050</xdr:rowOff>
        </xdr:to>
        <xdr:sp macro="" textlink="">
          <xdr:nvSpPr>
            <xdr:cNvPr id="1028" name="List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A119183E-ECE4-491A-9365-225373CB0E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AVAILABILITIES%20-%20ADMINSTRATOR%20ONLY/PALM%20ACRES/INDEPENDENT%20AVAILABILITY.xlsm" TargetMode="External"/><Relationship Id="rId2" Type="http://schemas.openxmlformats.org/officeDocument/2006/relationships/externalLinkPath" Target="file:///S:\AVAILABILITIES%20-%20ADMINSTRATOR%20ONLY\PALM%20ACRES\INDEPENDENT%20AVAILABILITY.xlsm" TargetMode="External"/><Relationship Id="rId1" Type="http://schemas.openxmlformats.org/officeDocument/2006/relationships/externalLinkPath" Target="/AVAILABILITIES%20-%20ADMINSTRATOR%20ONLY/PALM%20ACRES/INDEPENDENT%20AVAILABILITY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ables"/>
      <sheetName val="Intermediate1"/>
      <sheetName val="Source"/>
      <sheetName val="INDEPENDENT HOUSE DELIVERED"/>
      <sheetName val="BROKER"/>
      <sheetName val="GREEN ACRES"/>
      <sheetName val="REP DELIVERED"/>
      <sheetName val="unused1"/>
      <sheetName val="unused2"/>
      <sheetName val="unused3"/>
      <sheetName val="Customer5"/>
      <sheetName val="SpecHouse"/>
    </sheetNames>
    <definedNames>
      <definedName name="copy10inch"/>
      <definedName name="goto10insource"/>
      <definedName name="PAGE_preview"/>
    </definedNames>
    <sheetDataSet>
      <sheetData sheetId="0">
        <row r="16">
          <cell r="C16" t="str">
            <v>6/15/26-6/22/26</v>
          </cell>
        </row>
        <row r="36">
          <cell r="A36">
            <v>1</v>
          </cell>
          <cell r="C36" t="str">
            <v>U</v>
          </cell>
          <cell r="D36" t="str">
            <v>X</v>
          </cell>
          <cell r="E36" t="str">
            <v>Y</v>
          </cell>
          <cell r="F36">
            <v>0</v>
          </cell>
          <cell r="G36" t="str">
            <v>Y</v>
          </cell>
          <cell r="H36">
            <v>54</v>
          </cell>
          <cell r="I36">
            <v>2</v>
          </cell>
          <cell r="J36">
            <v>9</v>
          </cell>
          <cell r="K36">
            <v>2</v>
          </cell>
          <cell r="L36">
            <v>53</v>
          </cell>
        </row>
        <row r="37">
          <cell r="A37">
            <v>2</v>
          </cell>
          <cell r="C37" t="str">
            <v>U</v>
          </cell>
          <cell r="D37" t="str">
            <v>Z</v>
          </cell>
          <cell r="E37" t="str">
            <v>AA</v>
          </cell>
          <cell r="F37">
            <v>0</v>
          </cell>
          <cell r="G37" t="str">
            <v>Y</v>
          </cell>
          <cell r="H37">
            <v>54</v>
          </cell>
          <cell r="I37">
            <v>2</v>
          </cell>
          <cell r="J37">
            <v>9</v>
          </cell>
          <cell r="K37">
            <v>2</v>
          </cell>
          <cell r="L37">
            <v>53</v>
          </cell>
        </row>
        <row r="38">
          <cell r="A38">
            <v>3</v>
          </cell>
          <cell r="C38" t="str">
            <v>U</v>
          </cell>
          <cell r="D38" t="str">
            <v>AB</v>
          </cell>
          <cell r="E38" t="str">
            <v>AC</v>
          </cell>
          <cell r="F38">
            <v>0</v>
          </cell>
          <cell r="G38" t="str">
            <v>Y</v>
          </cell>
          <cell r="H38">
            <v>54</v>
          </cell>
          <cell r="I38">
            <v>2</v>
          </cell>
          <cell r="J38">
            <v>9</v>
          </cell>
          <cell r="K38">
            <v>2</v>
          </cell>
          <cell r="L38">
            <v>53</v>
          </cell>
        </row>
        <row r="39">
          <cell r="A39">
            <v>4</v>
          </cell>
          <cell r="C39" t="str">
            <v>U</v>
          </cell>
          <cell r="D39" t="str">
            <v>AF</v>
          </cell>
          <cell r="E39" t="str">
            <v>AG</v>
          </cell>
          <cell r="F39">
            <v>0</v>
          </cell>
          <cell r="G39" t="str">
            <v>y</v>
          </cell>
          <cell r="H39">
            <v>54</v>
          </cell>
          <cell r="I39">
            <v>2</v>
          </cell>
          <cell r="J39">
            <v>9</v>
          </cell>
          <cell r="K39">
            <v>2</v>
          </cell>
          <cell r="L39">
            <v>53</v>
          </cell>
        </row>
        <row r="40">
          <cell r="A40">
            <v>5</v>
          </cell>
          <cell r="B40" t="str">
            <v>INDEPENDENT HOUSE DELIVERED</v>
          </cell>
          <cell r="C40" t="str">
            <v>U</v>
          </cell>
          <cell r="D40" t="str">
            <v>AH</v>
          </cell>
          <cell r="E40" t="str">
            <v>AI</v>
          </cell>
          <cell r="F40" t="str">
            <v>INDEPENDENT HOUSE DELIVERED</v>
          </cell>
          <cell r="G40" t="str">
            <v>y</v>
          </cell>
          <cell r="H40">
            <v>54</v>
          </cell>
          <cell r="I40">
            <v>2</v>
          </cell>
          <cell r="J40">
            <v>9</v>
          </cell>
          <cell r="K40">
            <v>2</v>
          </cell>
          <cell r="L40">
            <v>53</v>
          </cell>
        </row>
        <row r="41">
          <cell r="A41">
            <v>6</v>
          </cell>
          <cell r="B41" t="str">
            <v>BROKER</v>
          </cell>
          <cell r="C41" t="str">
            <v>U</v>
          </cell>
          <cell r="D41" t="str">
            <v>AJ</v>
          </cell>
          <cell r="E41" t="str">
            <v>AK</v>
          </cell>
          <cell r="F41" t="str">
            <v>BROKER</v>
          </cell>
          <cell r="G41" t="str">
            <v>y</v>
          </cell>
          <cell r="H41">
            <v>54</v>
          </cell>
          <cell r="I41">
            <v>2</v>
          </cell>
          <cell r="J41">
            <v>9</v>
          </cell>
          <cell r="K41">
            <v>2</v>
          </cell>
          <cell r="L41">
            <v>53</v>
          </cell>
        </row>
        <row r="42">
          <cell r="A42">
            <v>7</v>
          </cell>
          <cell r="B42" t="str">
            <v>GREEN ACRES</v>
          </cell>
          <cell r="C42" t="str">
            <v>U</v>
          </cell>
          <cell r="D42" t="str">
            <v>AL</v>
          </cell>
          <cell r="E42" t="str">
            <v>AM</v>
          </cell>
          <cell r="F42" t="str">
            <v>GREEN ACRES</v>
          </cell>
          <cell r="G42" t="str">
            <v>y</v>
          </cell>
          <cell r="H42">
            <v>54</v>
          </cell>
          <cell r="I42">
            <v>2</v>
          </cell>
          <cell r="J42">
            <v>9</v>
          </cell>
          <cell r="K42">
            <v>2</v>
          </cell>
          <cell r="L42">
            <v>53</v>
          </cell>
        </row>
        <row r="43">
          <cell r="A43">
            <v>8</v>
          </cell>
          <cell r="B43" t="str">
            <v>REP DELIVERED</v>
          </cell>
          <cell r="C43" t="str">
            <v>U</v>
          </cell>
          <cell r="D43" t="str">
            <v>AN</v>
          </cell>
          <cell r="E43" t="str">
            <v>AO</v>
          </cell>
          <cell r="F43" t="str">
            <v>REP DELIVERED</v>
          </cell>
          <cell r="G43" t="str">
            <v>y</v>
          </cell>
          <cell r="H43">
            <v>54</v>
          </cell>
          <cell r="I43">
            <v>2</v>
          </cell>
          <cell r="J43">
            <v>9</v>
          </cell>
          <cell r="K43">
            <v>2</v>
          </cell>
          <cell r="L43">
            <v>53</v>
          </cell>
        </row>
        <row r="44">
          <cell r="A44">
            <v>9</v>
          </cell>
          <cell r="B44" t="str">
            <v>unused1</v>
          </cell>
          <cell r="C44" t="str">
            <v>U</v>
          </cell>
          <cell r="D44" t="str">
            <v>AB</v>
          </cell>
          <cell r="E44" t="str">
            <v>AC</v>
          </cell>
          <cell r="F44" t="str">
            <v>unused1</v>
          </cell>
          <cell r="G44" t="str">
            <v>Y</v>
          </cell>
          <cell r="H44">
            <v>54</v>
          </cell>
          <cell r="I44">
            <v>2</v>
          </cell>
          <cell r="J44">
            <v>9</v>
          </cell>
          <cell r="K44">
            <v>2</v>
          </cell>
          <cell r="L44">
            <v>53</v>
          </cell>
        </row>
        <row r="45">
          <cell r="A45">
            <v>10</v>
          </cell>
          <cell r="B45" t="str">
            <v>unused2</v>
          </cell>
          <cell r="C45" t="str">
            <v>U</v>
          </cell>
          <cell r="D45" t="str">
            <v>AP</v>
          </cell>
          <cell r="E45" t="str">
            <v>AQ</v>
          </cell>
          <cell r="F45" t="str">
            <v>unused2</v>
          </cell>
          <cell r="G45" t="str">
            <v>y</v>
          </cell>
          <cell r="H45">
            <v>54</v>
          </cell>
          <cell r="I45">
            <v>2</v>
          </cell>
          <cell r="J45">
            <v>9</v>
          </cell>
          <cell r="K45">
            <v>2</v>
          </cell>
          <cell r="L45">
            <v>53</v>
          </cell>
        </row>
        <row r="46">
          <cell r="A46">
            <v>11</v>
          </cell>
          <cell r="B46" t="str">
            <v>unused3</v>
          </cell>
          <cell r="C46" t="str">
            <v>U</v>
          </cell>
          <cell r="D46" t="str">
            <v>AR</v>
          </cell>
          <cell r="E46" t="str">
            <v>AS</v>
          </cell>
          <cell r="F46" t="str">
            <v>unused3</v>
          </cell>
          <cell r="G46" t="str">
            <v>y</v>
          </cell>
          <cell r="H46">
            <v>54</v>
          </cell>
          <cell r="I46">
            <v>2</v>
          </cell>
          <cell r="J46">
            <v>9</v>
          </cell>
          <cell r="K46">
            <v>2</v>
          </cell>
          <cell r="L46">
            <v>53</v>
          </cell>
        </row>
        <row r="47">
          <cell r="A47">
            <v>12</v>
          </cell>
          <cell r="B47" t="str">
            <v>customer5</v>
          </cell>
          <cell r="C47" t="str">
            <v>U</v>
          </cell>
          <cell r="D47" t="str">
            <v>AT</v>
          </cell>
          <cell r="E47" t="str">
            <v>AU</v>
          </cell>
          <cell r="F47" t="str">
            <v>customer5</v>
          </cell>
          <cell r="G47" t="str">
            <v>y</v>
          </cell>
          <cell r="H47">
            <v>54</v>
          </cell>
          <cell r="I47">
            <v>2</v>
          </cell>
          <cell r="J47">
            <v>9</v>
          </cell>
          <cell r="K47">
            <v>2</v>
          </cell>
          <cell r="L47">
            <v>53</v>
          </cell>
        </row>
        <row r="48">
          <cell r="A48">
            <v>13</v>
          </cell>
          <cell r="B48" t="str">
            <v>Spec House Testing</v>
          </cell>
          <cell r="C48" t="str">
            <v>U</v>
          </cell>
          <cell r="D48" t="str">
            <v>X</v>
          </cell>
          <cell r="E48" t="str">
            <v>Y</v>
          </cell>
          <cell r="F48" t="str">
            <v>Spec House Testing</v>
          </cell>
          <cell r="G48" t="str">
            <v>Y</v>
          </cell>
          <cell r="H48">
            <v>54</v>
          </cell>
          <cell r="I48">
            <v>1</v>
          </cell>
          <cell r="J48">
            <v>9</v>
          </cell>
          <cell r="K48">
            <v>12</v>
          </cell>
          <cell r="L48">
            <v>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E3EEB-7F28-432F-9FD7-AFEE93C4D2C0}">
  <sheetPr codeName="Sheet8">
    <tabColor theme="6" tint="0.59999389629810485"/>
  </sheetPr>
  <dimension ref="A1:Z120"/>
  <sheetViews>
    <sheetView tabSelected="1" view="pageBreakPreview" topLeftCell="A28" zoomScaleNormal="100" zoomScaleSheetLayoutView="100" workbookViewId="0">
      <selection activeCell="A9" sqref="A9"/>
    </sheetView>
  </sheetViews>
  <sheetFormatPr defaultColWidth="9.1328125" defaultRowHeight="15" x14ac:dyDescent="0.4"/>
  <cols>
    <col min="1" max="1" width="9.59765625" style="1" customWidth="1"/>
    <col min="2" max="2" width="8.265625" style="1" customWidth="1"/>
    <col min="3" max="3" width="10.86328125" style="1" bestFit="1" customWidth="1"/>
    <col min="4" max="4" width="4.3984375" style="1" hidden="1" customWidth="1"/>
    <col min="5" max="5" width="12.1328125" style="3" bestFit="1" customWidth="1"/>
    <col min="6" max="6" width="63.265625" style="1" customWidth="1"/>
    <col min="7" max="7" width="2.86328125" style="1" customWidth="1"/>
    <col min="8" max="11" width="0.59765625" style="1" hidden="1" customWidth="1"/>
    <col min="12" max="12" width="8.265625" style="1" customWidth="1"/>
    <col min="13" max="13" width="10.86328125" style="3" bestFit="1" customWidth="1"/>
    <col min="14" max="14" width="4.3984375" style="1" hidden="1" customWidth="1"/>
    <col min="15" max="15" width="12.1328125" style="3" bestFit="1" customWidth="1"/>
    <col min="16" max="16" width="63.265625" style="1" customWidth="1"/>
    <col min="17" max="17" width="4.3984375" style="1" customWidth="1"/>
    <col min="18" max="20" width="4.59765625" style="1" customWidth="1"/>
    <col min="21" max="16384" width="9.1328125" style="1"/>
  </cols>
  <sheetData>
    <row r="1" spans="2:26" ht="3.75" customHeight="1" x14ac:dyDescent="0.4">
      <c r="C1" s="2"/>
      <c r="D1" s="2"/>
      <c r="E1" s="2"/>
      <c r="F1" s="2"/>
    </row>
    <row r="2" spans="2:26" ht="3.75" customHeight="1" x14ac:dyDescent="0.5">
      <c r="C2" s="4"/>
      <c r="D2" s="4"/>
      <c r="E2" s="4"/>
      <c r="F2" s="4"/>
      <c r="G2" s="3"/>
      <c r="H2" s="3"/>
      <c r="I2" s="3"/>
      <c r="J2" s="3"/>
      <c r="K2" s="3"/>
      <c r="L2" s="3"/>
      <c r="N2" s="3"/>
      <c r="P2" s="3"/>
      <c r="Q2" s="3"/>
      <c r="R2" s="3"/>
      <c r="S2" s="3"/>
      <c r="T2" s="3"/>
    </row>
    <row r="3" spans="2:26" ht="30" customHeight="1" x14ac:dyDescent="0.65">
      <c r="G3" s="5" t="s">
        <v>0</v>
      </c>
      <c r="I3" s="5" t="s">
        <v>0</v>
      </c>
      <c r="J3" s="5"/>
      <c r="K3" s="5"/>
      <c r="L3" s="6" t="s">
        <v>1</v>
      </c>
      <c r="M3" s="7"/>
      <c r="N3" s="8"/>
      <c r="O3" s="7"/>
      <c r="P3" s="9"/>
      <c r="Q3" s="5" t="s">
        <v>0</v>
      </c>
      <c r="R3" s="5"/>
      <c r="S3" s="5"/>
      <c r="T3" s="5"/>
    </row>
    <row r="4" spans="2:26" ht="30" customHeight="1" x14ac:dyDescent="0.65">
      <c r="G4" s="5" t="s">
        <v>0</v>
      </c>
      <c r="I4" s="5" t="s">
        <v>0</v>
      </c>
      <c r="J4" s="5"/>
      <c r="K4" s="5"/>
      <c r="L4" s="10" t="s">
        <v>2</v>
      </c>
      <c r="M4" s="11"/>
      <c r="N4" s="12"/>
      <c r="O4" s="11"/>
      <c r="P4" s="13"/>
      <c r="Q4" s="5" t="s">
        <v>0</v>
      </c>
      <c r="R4" s="5"/>
      <c r="S4" s="5"/>
      <c r="T4" s="5"/>
    </row>
    <row r="5" spans="2:26" ht="30" customHeight="1" x14ac:dyDescent="0.7">
      <c r="B5" s="14" t="str">
        <f>"Availability effective "&amp;avail</f>
        <v>Availability effective 6/15/26-6/22/26</v>
      </c>
      <c r="F5" s="15"/>
      <c r="G5" s="5" t="s">
        <v>0</v>
      </c>
      <c r="I5" s="5" t="s">
        <v>0</v>
      </c>
      <c r="J5" s="5"/>
      <c r="K5" s="5"/>
      <c r="L5" s="10" t="s">
        <v>3</v>
      </c>
      <c r="M5" s="11"/>
      <c r="N5" s="12"/>
      <c r="O5" s="11"/>
      <c r="P5" s="13"/>
      <c r="Q5" s="5" t="s">
        <v>0</v>
      </c>
      <c r="R5" s="5"/>
      <c r="S5" s="5"/>
      <c r="T5" s="5"/>
    </row>
    <row r="6" spans="2:26" ht="30" customHeight="1" x14ac:dyDescent="1.05">
      <c r="B6" s="16" t="s">
        <v>4</v>
      </c>
      <c r="C6" s="17"/>
      <c r="D6" s="17"/>
      <c r="E6" s="18"/>
      <c r="F6" s="19"/>
      <c r="G6" s="5" t="s">
        <v>0</v>
      </c>
      <c r="I6" s="5" t="s">
        <v>0</v>
      </c>
      <c r="J6" s="5"/>
      <c r="K6" s="5"/>
      <c r="L6" s="20" t="s">
        <v>5</v>
      </c>
      <c r="M6" s="21"/>
      <c r="N6" s="22"/>
      <c r="O6" s="21"/>
      <c r="P6" s="23"/>
      <c r="Q6" s="5" t="s">
        <v>0</v>
      </c>
      <c r="R6" s="5"/>
      <c r="S6" s="5"/>
      <c r="T6" s="5"/>
    </row>
    <row r="7" spans="2:26" ht="25.5" customHeight="1" x14ac:dyDescent="0.7">
      <c r="B7" s="24" t="s">
        <v>6</v>
      </c>
      <c r="G7" s="25"/>
      <c r="H7" s="25"/>
      <c r="I7" s="25"/>
      <c r="J7" s="25"/>
      <c r="K7" s="25"/>
      <c r="L7" s="25"/>
      <c r="M7" s="26"/>
      <c r="N7" s="25"/>
      <c r="O7" s="26"/>
      <c r="P7" s="27"/>
      <c r="Q7" s="5" t="s">
        <v>0</v>
      </c>
      <c r="V7" s="28" t="s">
        <v>7</v>
      </c>
    </row>
    <row r="8" spans="2:26" x14ac:dyDescent="0.4">
      <c r="B8" s="29" t="s">
        <v>8</v>
      </c>
      <c r="C8" s="29" t="s">
        <v>9</v>
      </c>
      <c r="D8" s="29" t="s">
        <v>10</v>
      </c>
      <c r="E8" s="29" t="s">
        <v>11</v>
      </c>
      <c r="F8" s="30" t="s">
        <v>12</v>
      </c>
      <c r="G8" s="31" t="s">
        <v>0</v>
      </c>
      <c r="H8" s="32"/>
      <c r="I8" s="32"/>
      <c r="J8" s="32"/>
      <c r="K8" s="32"/>
      <c r="L8" s="29" t="s">
        <v>8</v>
      </c>
      <c r="M8" s="29" t="s">
        <v>9</v>
      </c>
      <c r="N8" s="29" t="s">
        <v>10</v>
      </c>
      <c r="O8" s="29" t="s">
        <v>11</v>
      </c>
      <c r="P8" s="30" t="s">
        <v>12</v>
      </c>
      <c r="Q8" s="33" t="s">
        <v>0</v>
      </c>
      <c r="R8" s="28"/>
      <c r="S8" s="28"/>
      <c r="T8" s="28"/>
      <c r="V8" s="34" t="str">
        <f>B8</f>
        <v>Order</v>
      </c>
      <c r="W8" s="34" t="str">
        <f>C8</f>
        <v>Item#</v>
      </c>
      <c r="X8" s="34" t="str">
        <f>D8</f>
        <v>Code</v>
      </c>
      <c r="Y8" s="34" t="str">
        <f>E8</f>
        <v>Cost</v>
      </c>
      <c r="Z8" s="34" t="str">
        <f>F8</f>
        <v>Description</v>
      </c>
    </row>
    <row r="9" spans="2:26" ht="23.25" customHeight="1" x14ac:dyDescent="0.4">
      <c r="B9" s="35"/>
      <c r="C9" s="36"/>
      <c r="D9" s="35"/>
      <c r="E9" s="37"/>
      <c r="F9" s="38" t="s">
        <v>13</v>
      </c>
      <c r="G9" s="25"/>
      <c r="H9" s="25"/>
      <c r="I9" s="25"/>
      <c r="J9" s="25"/>
      <c r="L9" s="35"/>
      <c r="M9" s="36"/>
      <c r="N9" s="35"/>
      <c r="O9" s="37"/>
      <c r="P9" s="38" t="s">
        <v>14</v>
      </c>
      <c r="Q9" s="5" t="s">
        <v>0</v>
      </c>
      <c r="V9" s="35"/>
      <c r="W9" s="36"/>
      <c r="X9" s="35"/>
      <c r="Y9" s="37"/>
      <c r="Z9" s="39"/>
    </row>
    <row r="10" spans="2:26" ht="23.25" customHeight="1" x14ac:dyDescent="0.4">
      <c r="B10" s="35"/>
      <c r="C10" s="36">
        <v>1003</v>
      </c>
      <c r="D10" s="35" t="s">
        <v>15</v>
      </c>
      <c r="E10" s="40">
        <v>19.25</v>
      </c>
      <c r="F10" s="39" t="s">
        <v>16</v>
      </c>
      <c r="G10" s="25"/>
      <c r="H10" s="25"/>
      <c r="I10" s="25"/>
      <c r="J10" s="25"/>
      <c r="L10" s="35"/>
      <c r="M10" s="36">
        <v>1169</v>
      </c>
      <c r="N10" s="35" t="s">
        <v>15</v>
      </c>
      <c r="O10" s="40">
        <v>16</v>
      </c>
      <c r="P10" s="39" t="s">
        <v>17</v>
      </c>
      <c r="Q10" s="5" t="s">
        <v>0</v>
      </c>
    </row>
    <row r="11" spans="2:26" ht="23.25" customHeight="1" x14ac:dyDescent="0.4">
      <c r="B11" s="35"/>
      <c r="C11" s="36"/>
      <c r="D11" s="35"/>
      <c r="E11" s="37"/>
      <c r="F11" s="38" t="s">
        <v>18</v>
      </c>
      <c r="G11" s="25"/>
      <c r="H11" s="25"/>
      <c r="I11" s="25"/>
      <c r="J11" s="25"/>
      <c r="L11" s="35"/>
      <c r="M11" s="36">
        <v>1173</v>
      </c>
      <c r="N11" s="35" t="s">
        <v>15</v>
      </c>
      <c r="O11" s="40">
        <v>39.75</v>
      </c>
      <c r="P11" s="39" t="s">
        <v>19</v>
      </c>
      <c r="Q11" s="5" t="s">
        <v>0</v>
      </c>
    </row>
    <row r="12" spans="2:26" ht="23.25" customHeight="1" x14ac:dyDescent="0.4">
      <c r="B12" s="35"/>
      <c r="C12" s="36">
        <v>1038</v>
      </c>
      <c r="D12" s="35" t="s">
        <v>15</v>
      </c>
      <c r="E12" s="40">
        <v>17</v>
      </c>
      <c r="F12" s="39" t="s">
        <v>20</v>
      </c>
      <c r="G12" s="25"/>
      <c r="H12" s="25"/>
      <c r="I12" s="25"/>
      <c r="J12" s="25"/>
      <c r="L12" s="35"/>
      <c r="M12" s="36">
        <v>1175</v>
      </c>
      <c r="N12" s="35" t="s">
        <v>15</v>
      </c>
      <c r="O12" s="40">
        <v>60</v>
      </c>
      <c r="P12" s="39" t="s">
        <v>21</v>
      </c>
      <c r="Q12" s="5" t="s">
        <v>0</v>
      </c>
    </row>
    <row r="13" spans="2:26" ht="23.25" customHeight="1" x14ac:dyDescent="0.4">
      <c r="B13" s="35"/>
      <c r="C13" s="36">
        <v>1042</v>
      </c>
      <c r="D13" s="35" t="s">
        <v>15</v>
      </c>
      <c r="E13" s="40">
        <v>66.75</v>
      </c>
      <c r="F13" s="39" t="s">
        <v>22</v>
      </c>
      <c r="G13" s="25"/>
      <c r="H13" s="25"/>
      <c r="I13" s="25"/>
      <c r="J13" s="25"/>
      <c r="L13" s="35"/>
      <c r="M13" s="36">
        <v>1181</v>
      </c>
      <c r="N13" s="35" t="s">
        <v>15</v>
      </c>
      <c r="O13" s="40">
        <v>117.75</v>
      </c>
      <c r="P13" s="39" t="s">
        <v>23</v>
      </c>
      <c r="Q13" s="5" t="s">
        <v>0</v>
      </c>
    </row>
    <row r="14" spans="2:26" ht="23.25" customHeight="1" x14ac:dyDescent="0.4">
      <c r="B14" s="35"/>
      <c r="C14" s="36"/>
      <c r="D14" s="35"/>
      <c r="E14" s="37"/>
      <c r="F14" s="38" t="s">
        <v>24</v>
      </c>
      <c r="G14" s="25"/>
      <c r="H14" s="25"/>
      <c r="I14" s="25"/>
      <c r="J14" s="25"/>
      <c r="L14" s="35"/>
      <c r="M14" s="36"/>
      <c r="N14" s="35"/>
      <c r="O14" s="37"/>
      <c r="P14" s="38" t="s">
        <v>25</v>
      </c>
      <c r="Q14" s="5" t="s">
        <v>0</v>
      </c>
    </row>
    <row r="15" spans="2:26" ht="23.25" customHeight="1" x14ac:dyDescent="0.4">
      <c r="B15" s="35"/>
      <c r="C15" s="36">
        <v>1054</v>
      </c>
      <c r="D15" s="35" t="s">
        <v>15</v>
      </c>
      <c r="E15" s="40">
        <v>17</v>
      </c>
      <c r="F15" s="39" t="s">
        <v>26</v>
      </c>
      <c r="G15" s="25"/>
      <c r="H15" s="25"/>
      <c r="I15" s="25"/>
      <c r="J15" s="25"/>
      <c r="L15" s="35"/>
      <c r="M15" s="36">
        <v>1225</v>
      </c>
      <c r="N15" s="35" t="s">
        <v>15</v>
      </c>
      <c r="O15" s="40">
        <v>17</v>
      </c>
      <c r="P15" s="39" t="s">
        <v>27</v>
      </c>
      <c r="Q15" s="5" t="s">
        <v>0</v>
      </c>
    </row>
    <row r="16" spans="2:26" ht="23.25" customHeight="1" x14ac:dyDescent="0.4">
      <c r="B16" s="35"/>
      <c r="C16" s="36">
        <v>1055</v>
      </c>
      <c r="D16" s="35" t="s">
        <v>15</v>
      </c>
      <c r="E16" s="40">
        <v>53.75</v>
      </c>
      <c r="F16" s="39" t="s">
        <v>28</v>
      </c>
      <c r="G16" s="25"/>
      <c r="H16" s="25"/>
      <c r="I16" s="25"/>
      <c r="J16" s="25"/>
      <c r="L16" s="35"/>
      <c r="M16" s="36">
        <v>1227</v>
      </c>
      <c r="N16" s="35" t="s">
        <v>15</v>
      </c>
      <c r="O16" s="40">
        <v>17</v>
      </c>
      <c r="P16" s="39" t="s">
        <v>29</v>
      </c>
      <c r="Q16" s="5" t="s">
        <v>0</v>
      </c>
    </row>
    <row r="17" spans="2:17" ht="23.25" customHeight="1" x14ac:dyDescent="0.4">
      <c r="B17" s="35"/>
      <c r="C17" s="36"/>
      <c r="D17" s="35"/>
      <c r="E17" s="37"/>
      <c r="F17" s="38" t="s">
        <v>30</v>
      </c>
      <c r="G17" s="25"/>
      <c r="H17" s="25"/>
      <c r="I17" s="25"/>
      <c r="J17" s="25"/>
      <c r="L17" s="35"/>
      <c r="M17" s="36">
        <v>1228</v>
      </c>
      <c r="N17" s="35" t="s">
        <v>15</v>
      </c>
      <c r="O17" s="40">
        <v>17</v>
      </c>
      <c r="P17" s="39" t="s">
        <v>31</v>
      </c>
      <c r="Q17" s="5" t="s">
        <v>0</v>
      </c>
    </row>
    <row r="18" spans="2:17" ht="23.25" customHeight="1" x14ac:dyDescent="0.4">
      <c r="B18" s="35"/>
      <c r="C18" s="36">
        <v>1062</v>
      </c>
      <c r="D18" s="35" t="s">
        <v>15</v>
      </c>
      <c r="E18" s="40">
        <v>24.5</v>
      </c>
      <c r="F18" s="39" t="s">
        <v>32</v>
      </c>
      <c r="G18" s="25"/>
      <c r="H18" s="25"/>
      <c r="I18" s="25"/>
      <c r="J18" s="25"/>
      <c r="L18" s="35"/>
      <c r="M18" s="36">
        <v>1231</v>
      </c>
      <c r="N18" s="35" t="s">
        <v>15</v>
      </c>
      <c r="O18" s="40">
        <v>17</v>
      </c>
      <c r="P18" s="39" t="s">
        <v>33</v>
      </c>
      <c r="Q18" s="5" t="s">
        <v>0</v>
      </c>
    </row>
    <row r="19" spans="2:17" ht="23.25" customHeight="1" x14ac:dyDescent="0.4">
      <c r="B19" s="35"/>
      <c r="C19" s="36">
        <v>1069</v>
      </c>
      <c r="D19" s="35" t="s">
        <v>15</v>
      </c>
      <c r="E19" s="40">
        <v>24.5</v>
      </c>
      <c r="F19" s="39" t="s">
        <v>34</v>
      </c>
      <c r="G19" s="25"/>
      <c r="H19" s="25"/>
      <c r="I19" s="25"/>
      <c r="J19" s="25"/>
      <c r="L19" s="35"/>
      <c r="M19" s="36"/>
      <c r="N19" s="35"/>
      <c r="O19" s="37"/>
      <c r="P19" s="38" t="s">
        <v>35</v>
      </c>
      <c r="Q19" s="5" t="s">
        <v>0</v>
      </c>
    </row>
    <row r="20" spans="2:17" ht="23.25" customHeight="1" x14ac:dyDescent="0.4">
      <c r="B20" s="35"/>
      <c r="C20" s="36">
        <v>1072</v>
      </c>
      <c r="D20" s="35" t="s">
        <v>15</v>
      </c>
      <c r="E20" s="40">
        <v>24.5</v>
      </c>
      <c r="F20" s="39" t="s">
        <v>36</v>
      </c>
      <c r="G20" s="25"/>
      <c r="H20" s="25"/>
      <c r="I20" s="25"/>
      <c r="J20" s="25"/>
      <c r="L20" s="35"/>
      <c r="M20" s="36">
        <v>1311</v>
      </c>
      <c r="N20" s="35" t="s">
        <v>15</v>
      </c>
      <c r="O20" s="40">
        <v>57.75</v>
      </c>
      <c r="P20" s="39" t="s">
        <v>37</v>
      </c>
      <c r="Q20" s="5" t="s">
        <v>0</v>
      </c>
    </row>
    <row r="21" spans="2:17" ht="23.25" customHeight="1" x14ac:dyDescent="0.4">
      <c r="B21" s="35"/>
      <c r="C21" s="36"/>
      <c r="D21" s="35"/>
      <c r="E21" s="37"/>
      <c r="F21" s="38" t="s">
        <v>38</v>
      </c>
      <c r="G21" s="25"/>
      <c r="H21" s="25"/>
      <c r="I21" s="25"/>
      <c r="J21" s="25"/>
      <c r="L21" s="35"/>
      <c r="M21" s="36"/>
      <c r="N21" s="35"/>
      <c r="O21" s="37"/>
      <c r="P21" s="38" t="s">
        <v>39</v>
      </c>
      <c r="Q21" s="5" t="s">
        <v>0</v>
      </c>
    </row>
    <row r="22" spans="2:17" ht="23.25" customHeight="1" x14ac:dyDescent="0.4">
      <c r="B22" s="35"/>
      <c r="C22" s="36">
        <v>1086</v>
      </c>
      <c r="D22" s="35" t="s">
        <v>15</v>
      </c>
      <c r="E22" s="40">
        <v>24.5</v>
      </c>
      <c r="F22" s="39" t="s">
        <v>40</v>
      </c>
      <c r="G22" s="25"/>
      <c r="H22" s="25"/>
      <c r="I22" s="25"/>
      <c r="J22" s="25"/>
      <c r="L22" s="35"/>
      <c r="M22" s="36">
        <v>1317</v>
      </c>
      <c r="N22" s="35" t="s">
        <v>15</v>
      </c>
      <c r="O22" s="40">
        <v>28.25</v>
      </c>
      <c r="P22" s="39" t="s">
        <v>41</v>
      </c>
      <c r="Q22" s="5" t="s">
        <v>0</v>
      </c>
    </row>
    <row r="23" spans="2:17" ht="23.25" customHeight="1" x14ac:dyDescent="0.4">
      <c r="B23" s="35"/>
      <c r="C23" s="36">
        <v>1090</v>
      </c>
      <c r="D23" s="35" t="s">
        <v>15</v>
      </c>
      <c r="E23" s="40">
        <v>72</v>
      </c>
      <c r="F23" s="39" t="s">
        <v>42</v>
      </c>
      <c r="G23" s="25"/>
      <c r="H23" s="25"/>
      <c r="I23" s="25"/>
      <c r="J23" s="25"/>
      <c r="L23" s="35"/>
      <c r="M23" s="36">
        <v>1318</v>
      </c>
      <c r="N23" s="35" t="s">
        <v>15</v>
      </c>
      <c r="O23" s="40">
        <v>59</v>
      </c>
      <c r="P23" s="39" t="s">
        <v>43</v>
      </c>
      <c r="Q23" s="5" t="s">
        <v>0</v>
      </c>
    </row>
    <row r="24" spans="2:17" ht="23.25" customHeight="1" x14ac:dyDescent="0.4">
      <c r="B24" s="35"/>
      <c r="C24" s="36"/>
      <c r="D24" s="35"/>
      <c r="E24" s="37"/>
      <c r="F24" s="38" t="s">
        <v>44</v>
      </c>
      <c r="G24" s="25"/>
      <c r="H24" s="25"/>
      <c r="I24" s="25"/>
      <c r="J24" s="25"/>
      <c r="L24" s="35"/>
      <c r="M24" s="36"/>
      <c r="N24" s="35"/>
      <c r="O24" s="37"/>
      <c r="P24" s="38" t="s">
        <v>45</v>
      </c>
      <c r="Q24" s="5" t="s">
        <v>0</v>
      </c>
    </row>
    <row r="25" spans="2:17" ht="23.25" customHeight="1" x14ac:dyDescent="0.4">
      <c r="B25" s="35"/>
      <c r="C25" s="36">
        <v>1123</v>
      </c>
      <c r="D25" s="35" t="s">
        <v>15</v>
      </c>
      <c r="E25" s="40">
        <v>19.5</v>
      </c>
      <c r="F25" s="39" t="s">
        <v>46</v>
      </c>
      <c r="G25" s="25"/>
      <c r="H25" s="25"/>
      <c r="I25" s="25"/>
      <c r="J25" s="25"/>
      <c r="L25" s="35"/>
      <c r="M25" s="36">
        <v>1325</v>
      </c>
      <c r="N25" s="35" t="s">
        <v>15</v>
      </c>
      <c r="O25" s="40">
        <v>19.25</v>
      </c>
      <c r="P25" s="39" t="s">
        <v>47</v>
      </c>
      <c r="Q25" s="5" t="s">
        <v>0</v>
      </c>
    </row>
    <row r="26" spans="2:17" ht="23.25" customHeight="1" x14ac:dyDescent="0.4">
      <c r="B26" s="35"/>
      <c r="C26" s="36">
        <v>1125</v>
      </c>
      <c r="D26" s="35" t="s">
        <v>15</v>
      </c>
      <c r="E26" s="40">
        <v>19.5</v>
      </c>
      <c r="F26" s="39" t="s">
        <v>48</v>
      </c>
      <c r="G26" s="25"/>
      <c r="H26" s="25"/>
      <c r="I26" s="25"/>
      <c r="J26" s="25"/>
      <c r="L26" s="35"/>
      <c r="M26" s="36">
        <v>1327</v>
      </c>
      <c r="N26" s="35" t="s">
        <v>15</v>
      </c>
      <c r="O26" s="40">
        <v>47.5</v>
      </c>
      <c r="P26" s="39" t="s">
        <v>49</v>
      </c>
      <c r="Q26" s="5" t="s">
        <v>0</v>
      </c>
    </row>
    <row r="27" spans="2:17" ht="23.25" customHeight="1" x14ac:dyDescent="0.4">
      <c r="B27" s="35"/>
      <c r="C27" s="36"/>
      <c r="D27" s="35"/>
      <c r="E27" s="37"/>
      <c r="F27" s="38" t="s">
        <v>50</v>
      </c>
      <c r="G27" s="25"/>
      <c r="H27" s="25"/>
      <c r="I27" s="25"/>
      <c r="J27" s="25"/>
      <c r="L27" s="35"/>
      <c r="M27" s="36">
        <v>1328</v>
      </c>
      <c r="N27" s="35" t="s">
        <v>15</v>
      </c>
      <c r="O27" s="40">
        <v>82.25</v>
      </c>
      <c r="P27" s="39" t="s">
        <v>51</v>
      </c>
      <c r="Q27" s="5" t="s">
        <v>0</v>
      </c>
    </row>
    <row r="28" spans="2:17" ht="23.25" customHeight="1" x14ac:dyDescent="0.4">
      <c r="B28" s="35"/>
      <c r="C28" s="36">
        <v>1142</v>
      </c>
      <c r="D28" s="35" t="s">
        <v>15</v>
      </c>
      <c r="E28" s="40">
        <v>20.75</v>
      </c>
      <c r="F28" s="39" t="s">
        <v>52</v>
      </c>
      <c r="G28" s="25"/>
      <c r="H28" s="25"/>
      <c r="I28" s="25"/>
      <c r="J28" s="25"/>
      <c r="L28" s="35"/>
      <c r="M28" s="36"/>
      <c r="N28" s="35"/>
      <c r="O28" s="37"/>
      <c r="P28" s="38" t="s">
        <v>53</v>
      </c>
      <c r="Q28" s="5" t="s">
        <v>0</v>
      </c>
    </row>
    <row r="29" spans="2:17" ht="23.25" customHeight="1" x14ac:dyDescent="0.4">
      <c r="B29" s="35"/>
      <c r="C29" s="36"/>
      <c r="D29" s="35"/>
      <c r="E29" s="37"/>
      <c r="F29" s="38" t="s">
        <v>54</v>
      </c>
      <c r="G29" s="25"/>
      <c r="H29" s="25"/>
      <c r="I29" s="25"/>
      <c r="J29" s="25"/>
      <c r="L29" s="35"/>
      <c r="M29" s="36">
        <v>1333</v>
      </c>
      <c r="N29" s="35" t="s">
        <v>15</v>
      </c>
      <c r="O29" s="40">
        <v>64</v>
      </c>
      <c r="P29" s="39" t="s">
        <v>55</v>
      </c>
      <c r="Q29" s="5" t="s">
        <v>0</v>
      </c>
    </row>
    <row r="30" spans="2:17" ht="23.25" customHeight="1" x14ac:dyDescent="0.4">
      <c r="B30" s="35"/>
      <c r="C30" s="36">
        <v>1145</v>
      </c>
      <c r="D30" s="35" t="s">
        <v>15</v>
      </c>
      <c r="E30" s="40">
        <v>18.5</v>
      </c>
      <c r="F30" s="39" t="s">
        <v>56</v>
      </c>
      <c r="G30" s="25"/>
      <c r="H30" s="25"/>
      <c r="I30" s="25"/>
      <c r="J30" s="25"/>
      <c r="L30" s="35"/>
      <c r="M30" s="36"/>
      <c r="N30" s="35"/>
      <c r="O30" s="37"/>
      <c r="P30" s="38" t="s">
        <v>57</v>
      </c>
      <c r="Q30" s="5" t="s">
        <v>0</v>
      </c>
    </row>
    <row r="31" spans="2:17" ht="23.25" customHeight="1" x14ac:dyDescent="0.4">
      <c r="B31" s="35"/>
      <c r="C31" s="36"/>
      <c r="D31" s="35"/>
      <c r="E31" s="37"/>
      <c r="F31" s="38" t="s">
        <v>58</v>
      </c>
      <c r="G31" s="25"/>
      <c r="H31" s="25"/>
      <c r="I31" s="25"/>
      <c r="J31" s="25"/>
      <c r="L31" s="35"/>
      <c r="M31" s="36">
        <v>1335</v>
      </c>
      <c r="N31" s="35" t="s">
        <v>15</v>
      </c>
      <c r="O31" s="40">
        <v>51.5</v>
      </c>
      <c r="P31" s="39" t="s">
        <v>59</v>
      </c>
      <c r="Q31" s="5" t="s">
        <v>0</v>
      </c>
    </row>
    <row r="32" spans="2:17" ht="23.25" customHeight="1" x14ac:dyDescent="0.4">
      <c r="B32" s="35"/>
      <c r="C32" s="36">
        <v>1149</v>
      </c>
      <c r="D32" s="35" t="s">
        <v>15</v>
      </c>
      <c r="E32" s="40">
        <v>42.5</v>
      </c>
      <c r="F32" s="39" t="s">
        <v>60</v>
      </c>
      <c r="G32" s="25"/>
      <c r="H32" s="25"/>
      <c r="I32" s="25"/>
      <c r="J32" s="25"/>
      <c r="L32" s="35"/>
      <c r="M32" s="36"/>
      <c r="N32" s="35"/>
      <c r="O32" s="37"/>
      <c r="P32" s="38" t="s">
        <v>61</v>
      </c>
      <c r="Q32" s="5" t="s">
        <v>0</v>
      </c>
    </row>
    <row r="33" spans="2:17" ht="23.25" customHeight="1" x14ac:dyDescent="0.4">
      <c r="B33" s="35"/>
      <c r="C33" s="36">
        <v>1151</v>
      </c>
      <c r="D33" s="35" t="s">
        <v>15</v>
      </c>
      <c r="E33" s="40">
        <v>72</v>
      </c>
      <c r="F33" s="39" t="s">
        <v>62</v>
      </c>
      <c r="G33" s="25"/>
      <c r="H33" s="25"/>
      <c r="I33" s="25"/>
      <c r="J33" s="25"/>
      <c r="L33" s="35"/>
      <c r="M33" s="36">
        <v>1337</v>
      </c>
      <c r="N33" s="35" t="s">
        <v>15</v>
      </c>
      <c r="O33" s="40">
        <v>52.5</v>
      </c>
      <c r="P33" s="39" t="s">
        <v>63</v>
      </c>
      <c r="Q33" s="5" t="s">
        <v>0</v>
      </c>
    </row>
    <row r="34" spans="2:17" ht="23.25" customHeight="1" x14ac:dyDescent="0.4">
      <c r="B34" s="35"/>
      <c r="C34" s="36">
        <v>1154</v>
      </c>
      <c r="D34" s="35" t="s">
        <v>15</v>
      </c>
      <c r="E34" s="40">
        <v>78.25</v>
      </c>
      <c r="F34" s="39" t="s">
        <v>64</v>
      </c>
      <c r="G34" s="25"/>
      <c r="H34" s="25"/>
      <c r="I34" s="25"/>
      <c r="J34" s="25"/>
      <c r="L34" s="35"/>
      <c r="M34" s="36"/>
      <c r="N34" s="35"/>
      <c r="O34" s="37"/>
      <c r="P34" s="38" t="s">
        <v>65</v>
      </c>
      <c r="Q34" s="5" t="s">
        <v>0</v>
      </c>
    </row>
    <row r="35" spans="2:17" ht="23.25" customHeight="1" x14ac:dyDescent="0.4">
      <c r="B35" s="35"/>
      <c r="C35" s="36">
        <v>1157</v>
      </c>
      <c r="D35" s="35" t="s">
        <v>15</v>
      </c>
      <c r="E35" s="40">
        <v>146.25</v>
      </c>
      <c r="F35" s="39" t="s">
        <v>66</v>
      </c>
      <c r="G35" s="25"/>
      <c r="H35" s="25"/>
      <c r="I35" s="25"/>
      <c r="J35" s="25"/>
      <c r="L35" s="35"/>
      <c r="M35" s="36">
        <v>1341</v>
      </c>
      <c r="N35" s="35" t="s">
        <v>15</v>
      </c>
      <c r="O35" s="40">
        <v>27</v>
      </c>
      <c r="P35" s="39" t="s">
        <v>67</v>
      </c>
      <c r="Q35" s="5" t="s">
        <v>0</v>
      </c>
    </row>
    <row r="36" spans="2:17" ht="23.25" customHeight="1" x14ac:dyDescent="0.4">
      <c r="B36" s="35"/>
      <c r="C36" s="36"/>
      <c r="D36" s="35"/>
      <c r="E36" s="37"/>
      <c r="F36" s="39"/>
      <c r="G36" s="25"/>
      <c r="H36" s="25"/>
      <c r="I36" s="25"/>
      <c r="J36" s="25"/>
      <c r="L36" s="35"/>
      <c r="M36" s="36"/>
      <c r="N36" s="35"/>
      <c r="O36" s="37"/>
      <c r="P36" s="38" t="s">
        <v>68</v>
      </c>
      <c r="Q36" s="5" t="s">
        <v>0</v>
      </c>
    </row>
    <row r="37" spans="2:17" ht="23.25" customHeight="1" x14ac:dyDescent="0.4">
      <c r="B37" s="35"/>
      <c r="C37" s="36"/>
      <c r="D37" s="35"/>
      <c r="E37" s="37"/>
      <c r="F37" s="39"/>
      <c r="G37" s="25"/>
      <c r="H37" s="25"/>
      <c r="I37" s="25"/>
      <c r="J37" s="25"/>
      <c r="L37" s="35"/>
      <c r="M37" s="36">
        <v>1378</v>
      </c>
      <c r="N37" s="35" t="s">
        <v>15</v>
      </c>
      <c r="O37" s="40">
        <v>31</v>
      </c>
      <c r="P37" s="39" t="s">
        <v>69</v>
      </c>
      <c r="Q37" s="5" t="s">
        <v>0</v>
      </c>
    </row>
    <row r="38" spans="2:17" ht="23.25" customHeight="1" x14ac:dyDescent="0.4">
      <c r="B38" s="35"/>
      <c r="C38" s="36"/>
      <c r="D38" s="35"/>
      <c r="E38" s="37"/>
      <c r="F38" s="39"/>
      <c r="G38" s="25"/>
      <c r="H38" s="25"/>
      <c r="I38" s="25"/>
      <c r="J38" s="25"/>
      <c r="L38" s="35"/>
      <c r="M38" s="36">
        <v>1381</v>
      </c>
      <c r="N38" s="35" t="s">
        <v>15</v>
      </c>
      <c r="O38" s="40">
        <v>86.25</v>
      </c>
      <c r="P38" s="39" t="s">
        <v>70</v>
      </c>
      <c r="Q38" s="5" t="s">
        <v>0</v>
      </c>
    </row>
    <row r="39" spans="2:17" ht="23.25" customHeight="1" x14ac:dyDescent="0.4">
      <c r="B39" s="35"/>
      <c r="C39" s="36"/>
      <c r="D39" s="35"/>
      <c r="E39" s="37"/>
      <c r="F39" s="39"/>
      <c r="G39" s="25"/>
      <c r="H39" s="25"/>
      <c r="I39" s="25"/>
      <c r="J39" s="25"/>
      <c r="L39" s="35"/>
      <c r="M39" s="36"/>
      <c r="N39" s="35"/>
      <c r="O39" s="37"/>
      <c r="P39" s="38" t="s">
        <v>71</v>
      </c>
      <c r="Q39" s="5" t="s">
        <v>0</v>
      </c>
    </row>
    <row r="40" spans="2:17" ht="23.25" customHeight="1" x14ac:dyDescent="0.4">
      <c r="B40" s="35"/>
      <c r="C40" s="36"/>
      <c r="D40" s="35"/>
      <c r="E40" s="37"/>
      <c r="F40" s="39"/>
      <c r="G40" s="25"/>
      <c r="H40" s="25"/>
      <c r="I40" s="25"/>
      <c r="J40" s="25"/>
      <c r="K40" s="1">
        <v>30</v>
      </c>
      <c r="L40" s="35"/>
      <c r="M40" s="36">
        <v>1398</v>
      </c>
      <c r="N40" s="35" t="s">
        <v>15</v>
      </c>
      <c r="O40" s="40">
        <v>213.25</v>
      </c>
      <c r="P40" s="39" t="s">
        <v>72</v>
      </c>
      <c r="Q40" s="5" t="s">
        <v>0</v>
      </c>
    </row>
    <row r="41" spans="2:17" ht="23.25" customHeight="1" x14ac:dyDescent="0.4">
      <c r="B41" s="35"/>
      <c r="C41" s="36"/>
      <c r="D41" s="35"/>
      <c r="E41" s="37"/>
      <c r="F41" s="39"/>
      <c r="G41" s="25"/>
      <c r="H41" s="25"/>
      <c r="I41" s="25"/>
      <c r="J41" s="25"/>
      <c r="L41" s="35"/>
      <c r="M41" s="36">
        <v>1399</v>
      </c>
      <c r="N41" s="35" t="s">
        <v>15</v>
      </c>
      <c r="O41" s="40">
        <v>213.25</v>
      </c>
      <c r="P41" s="39" t="s">
        <v>73</v>
      </c>
      <c r="Q41" s="5" t="s">
        <v>0</v>
      </c>
    </row>
    <row r="42" spans="2:17" ht="23.25" customHeight="1" x14ac:dyDescent="0.4">
      <c r="B42" s="35"/>
      <c r="C42" s="36"/>
      <c r="D42" s="35"/>
      <c r="E42" s="37"/>
      <c r="F42" s="39"/>
      <c r="G42" s="25"/>
      <c r="H42" s="25"/>
      <c r="I42" s="25"/>
      <c r="J42" s="25"/>
      <c r="L42" s="35"/>
      <c r="M42" s="36"/>
      <c r="N42" s="35"/>
      <c r="O42" s="37"/>
      <c r="P42" s="39"/>
    </row>
    <row r="43" spans="2:17" ht="23.25" customHeight="1" x14ac:dyDescent="0.4">
      <c r="B43" s="35"/>
      <c r="C43" s="36"/>
      <c r="D43" s="35"/>
      <c r="E43" s="37"/>
      <c r="F43" s="39"/>
      <c r="G43" s="25"/>
      <c r="H43" s="25"/>
      <c r="I43" s="25"/>
      <c r="J43" s="25"/>
      <c r="L43" s="35"/>
      <c r="M43" s="36"/>
      <c r="N43" s="35"/>
      <c r="O43" s="37"/>
      <c r="P43" s="39"/>
    </row>
    <row r="44" spans="2:17" ht="23.25" customHeight="1" x14ac:dyDescent="0.4">
      <c r="B44" s="35"/>
      <c r="C44" s="36"/>
      <c r="D44" s="35"/>
      <c r="E44" s="37"/>
      <c r="F44" s="39"/>
      <c r="G44" s="25"/>
      <c r="H44" s="25"/>
      <c r="I44" s="25"/>
      <c r="J44" s="25"/>
      <c r="L44" s="35"/>
      <c r="M44" s="36"/>
      <c r="N44" s="35"/>
      <c r="O44" s="37"/>
      <c r="P44" s="39"/>
    </row>
    <row r="45" spans="2:17" ht="23.25" customHeight="1" x14ac:dyDescent="0.4">
      <c r="B45" s="35"/>
      <c r="C45" s="36"/>
      <c r="D45" s="35"/>
      <c r="E45" s="37"/>
      <c r="F45" s="39"/>
      <c r="G45" s="25"/>
      <c r="H45" s="25"/>
      <c r="I45" s="25"/>
      <c r="J45" s="25"/>
      <c r="L45" s="35"/>
      <c r="M45" s="36"/>
      <c r="N45" s="35"/>
      <c r="O45" s="37"/>
      <c r="P45" s="39"/>
    </row>
    <row r="46" spans="2:17" ht="23.25" customHeight="1" x14ac:dyDescent="0.4">
      <c r="B46" s="35"/>
      <c r="C46" s="36"/>
      <c r="D46" s="35"/>
      <c r="E46" s="37"/>
      <c r="F46" s="39"/>
      <c r="G46" s="25"/>
      <c r="H46" s="25"/>
      <c r="I46" s="25"/>
      <c r="J46" s="25"/>
      <c r="L46" s="35"/>
      <c r="M46" s="36"/>
      <c r="N46" s="35"/>
      <c r="O46" s="37"/>
      <c r="P46" s="39"/>
    </row>
    <row r="47" spans="2:17" ht="23.25" customHeight="1" x14ac:dyDescent="0.4">
      <c r="B47" s="35"/>
      <c r="C47" s="36"/>
      <c r="D47" s="35"/>
      <c r="E47" s="37"/>
      <c r="F47" s="39"/>
      <c r="G47" s="25"/>
      <c r="H47" s="25"/>
      <c r="I47" s="25"/>
      <c r="J47" s="25"/>
      <c r="L47" s="35"/>
      <c r="M47" s="36"/>
      <c r="N47" s="35"/>
      <c r="O47" s="37"/>
      <c r="P47" s="39"/>
    </row>
    <row r="48" spans="2:17" ht="23.25" customHeight="1" x14ac:dyDescent="0.4">
      <c r="B48" s="35"/>
      <c r="C48" s="36"/>
      <c r="D48" s="35"/>
      <c r="E48" s="37"/>
      <c r="F48" s="39"/>
      <c r="G48" s="25"/>
      <c r="H48" s="25"/>
      <c r="I48" s="25"/>
      <c r="J48" s="25"/>
      <c r="L48" s="35"/>
      <c r="M48" s="36"/>
      <c r="N48" s="35"/>
      <c r="O48" s="37"/>
      <c r="P48" s="39"/>
    </row>
    <row r="49" spans="2:16" ht="23.25" customHeight="1" x14ac:dyDescent="0.4">
      <c r="B49" s="35"/>
      <c r="C49" s="36"/>
      <c r="D49" s="35"/>
      <c r="E49" s="37"/>
      <c r="F49" s="39"/>
      <c r="G49" s="25"/>
      <c r="H49" s="25"/>
      <c r="I49" s="25"/>
      <c r="J49" s="25"/>
      <c r="L49" s="35"/>
      <c r="M49" s="36"/>
      <c r="N49" s="35"/>
      <c r="O49" s="37"/>
      <c r="P49" s="39"/>
    </row>
    <row r="50" spans="2:16" ht="23.25" customHeight="1" x14ac:dyDescent="0.4">
      <c r="B50" s="35"/>
      <c r="C50" s="36"/>
      <c r="D50" s="35"/>
      <c r="E50" s="37"/>
      <c r="F50" s="39"/>
      <c r="G50" s="25"/>
      <c r="H50" s="25"/>
      <c r="I50" s="25"/>
      <c r="J50" s="25"/>
      <c r="L50" s="35"/>
      <c r="M50" s="36"/>
      <c r="N50" s="35"/>
      <c r="O50" s="37"/>
      <c r="P50" s="39"/>
    </row>
    <row r="51" spans="2:16" ht="23.25" customHeight="1" x14ac:dyDescent="0.4">
      <c r="B51" s="35"/>
      <c r="C51" s="36"/>
      <c r="D51" s="35"/>
      <c r="E51" s="37"/>
      <c r="F51" s="39"/>
      <c r="G51" s="25"/>
      <c r="H51" s="25"/>
      <c r="I51" s="25"/>
      <c r="J51" s="25"/>
      <c r="L51" s="35"/>
      <c r="M51" s="36"/>
      <c r="N51" s="35"/>
      <c r="O51" s="37"/>
      <c r="P51" s="39"/>
    </row>
    <row r="52" spans="2:16" ht="23.25" customHeight="1" x14ac:dyDescent="0.4">
      <c r="B52" s="35"/>
      <c r="C52" s="36"/>
      <c r="D52" s="35"/>
      <c r="E52" s="37"/>
      <c r="F52" s="39"/>
      <c r="G52" s="25"/>
      <c r="H52" s="25"/>
      <c r="I52" s="25"/>
      <c r="J52" s="25"/>
      <c r="L52" s="35"/>
      <c r="M52" s="36"/>
      <c r="N52" s="35"/>
      <c r="O52" s="37"/>
      <c r="P52" s="39"/>
    </row>
    <row r="53" spans="2:16" ht="23.25" customHeight="1" x14ac:dyDescent="0.4">
      <c r="B53" s="35"/>
      <c r="C53" s="36"/>
      <c r="D53" s="35"/>
      <c r="E53" s="37"/>
      <c r="F53" s="39"/>
      <c r="G53" s="25"/>
      <c r="H53" s="25"/>
      <c r="I53" s="25"/>
      <c r="J53" s="25"/>
      <c r="L53" s="35"/>
      <c r="M53" s="36"/>
      <c r="N53" s="35"/>
      <c r="O53" s="37"/>
      <c r="P53" s="39"/>
    </row>
    <row r="54" spans="2:16" ht="23.25" customHeight="1" x14ac:dyDescent="0.4">
      <c r="B54" s="35"/>
      <c r="C54" s="36"/>
      <c r="D54" s="35"/>
      <c r="E54" s="37"/>
      <c r="F54" s="39"/>
      <c r="G54" s="25"/>
      <c r="H54" s="25"/>
      <c r="I54" s="25"/>
      <c r="J54" s="25"/>
      <c r="L54" s="35"/>
      <c r="M54" s="36"/>
      <c r="N54" s="35"/>
      <c r="O54" s="37"/>
      <c r="P54" s="39"/>
    </row>
    <row r="55" spans="2:16" ht="23.25" customHeight="1" x14ac:dyDescent="0.4">
      <c r="B55" s="35"/>
      <c r="C55" s="36"/>
      <c r="D55" s="35"/>
      <c r="E55" s="37"/>
      <c r="F55" s="39"/>
      <c r="G55" s="25"/>
      <c r="H55" s="25"/>
      <c r="I55" s="25"/>
      <c r="J55" s="25"/>
      <c r="L55" s="35"/>
      <c r="M55" s="36"/>
      <c r="N55" s="35"/>
      <c r="O55" s="37"/>
      <c r="P55" s="39"/>
    </row>
    <row r="56" spans="2:16" ht="23.25" customHeight="1" x14ac:dyDescent="0.4">
      <c r="B56" s="35"/>
      <c r="C56" s="36"/>
      <c r="D56" s="35"/>
      <c r="E56" s="37"/>
      <c r="F56" s="39"/>
      <c r="G56" s="25"/>
      <c r="H56" s="25"/>
      <c r="I56" s="25"/>
      <c r="J56" s="25"/>
      <c r="L56" s="35"/>
      <c r="M56" s="36"/>
      <c r="N56" s="35"/>
      <c r="O56" s="37"/>
      <c r="P56" s="39"/>
    </row>
    <row r="57" spans="2:16" ht="23.25" customHeight="1" x14ac:dyDescent="0.4">
      <c r="B57" s="35"/>
      <c r="C57" s="36"/>
      <c r="D57" s="35"/>
      <c r="E57" s="37"/>
      <c r="F57" s="39"/>
      <c r="G57" s="25"/>
      <c r="H57" s="25"/>
      <c r="I57" s="25"/>
      <c r="J57" s="25"/>
      <c r="L57" s="35"/>
      <c r="M57" s="36"/>
      <c r="N57" s="35"/>
      <c r="O57" s="37"/>
      <c r="P57" s="39"/>
    </row>
    <row r="58" spans="2:16" ht="23.25" customHeight="1" x14ac:dyDescent="0.4">
      <c r="B58" s="35"/>
      <c r="C58" s="36"/>
      <c r="D58" s="35"/>
      <c r="E58" s="37"/>
      <c r="F58" s="39"/>
      <c r="G58" s="25"/>
      <c r="H58" s="25"/>
      <c r="I58" s="25"/>
      <c r="J58" s="25"/>
      <c r="L58" s="35"/>
      <c r="M58" s="36"/>
      <c r="N58" s="35"/>
      <c r="O58" s="37"/>
      <c r="P58" s="39"/>
    </row>
    <row r="59" spans="2:16" ht="23.25" customHeight="1" x14ac:dyDescent="0.4">
      <c r="B59" s="35"/>
      <c r="C59" s="36"/>
      <c r="D59" s="35"/>
      <c r="E59" s="37"/>
      <c r="F59" s="39"/>
      <c r="G59" s="25"/>
      <c r="H59" s="25"/>
      <c r="I59" s="25"/>
      <c r="J59" s="25"/>
      <c r="L59" s="35"/>
      <c r="M59" s="36"/>
      <c r="N59" s="35"/>
      <c r="O59" s="37"/>
      <c r="P59" s="39"/>
    </row>
    <row r="60" spans="2:16" ht="23.25" customHeight="1" x14ac:dyDescent="0.4">
      <c r="B60" s="35"/>
      <c r="C60" s="36"/>
      <c r="D60" s="35"/>
      <c r="E60" s="37"/>
      <c r="F60" s="39"/>
      <c r="G60" s="25"/>
      <c r="H60" s="25"/>
      <c r="I60" s="25"/>
      <c r="J60" s="25"/>
      <c r="L60" s="35"/>
      <c r="M60" s="36"/>
      <c r="N60" s="35"/>
      <c r="O60" s="37"/>
      <c r="P60" s="39"/>
    </row>
    <row r="61" spans="2:16" ht="23.25" customHeight="1" x14ac:dyDescent="0.4">
      <c r="B61" s="35"/>
      <c r="C61" s="36"/>
      <c r="D61" s="35"/>
      <c r="E61" s="37"/>
      <c r="F61" s="39"/>
      <c r="G61" s="25"/>
      <c r="H61" s="25"/>
      <c r="I61" s="25"/>
      <c r="J61" s="25"/>
      <c r="L61" s="35"/>
      <c r="M61" s="36"/>
      <c r="N61" s="35"/>
      <c r="O61" s="37"/>
      <c r="P61" s="39"/>
    </row>
    <row r="62" spans="2:16" ht="23.25" customHeight="1" x14ac:dyDescent="0.4">
      <c r="B62" s="35"/>
      <c r="C62" s="36"/>
      <c r="D62" s="35"/>
      <c r="E62" s="37"/>
      <c r="F62" s="39"/>
      <c r="G62" s="25"/>
      <c r="H62" s="25"/>
      <c r="I62" s="25"/>
      <c r="J62" s="25"/>
      <c r="L62" s="35"/>
      <c r="M62" s="36"/>
      <c r="N62" s="35"/>
      <c r="O62" s="37"/>
      <c r="P62" s="39"/>
    </row>
    <row r="63" spans="2:16" ht="22.9" x14ac:dyDescent="0.4">
      <c r="B63" s="35"/>
      <c r="C63" s="36"/>
      <c r="D63" s="35"/>
      <c r="E63" s="37"/>
      <c r="F63" s="39"/>
      <c r="G63" s="25"/>
      <c r="H63" s="25"/>
      <c r="I63" s="25"/>
      <c r="J63" s="25"/>
      <c r="L63" s="35"/>
      <c r="M63" s="36"/>
      <c r="N63" s="35"/>
      <c r="O63" s="37"/>
      <c r="P63" s="39"/>
    </row>
    <row r="64" spans="2:16" ht="22.9" x14ac:dyDescent="0.4">
      <c r="B64" s="35"/>
      <c r="C64" s="36"/>
      <c r="D64" s="35"/>
      <c r="E64" s="37"/>
      <c r="F64" s="39"/>
      <c r="G64" s="25"/>
      <c r="H64" s="25"/>
      <c r="I64" s="25"/>
      <c r="J64" s="25"/>
      <c r="L64" s="35"/>
      <c r="M64" s="36"/>
      <c r="N64" s="35"/>
      <c r="O64" s="37"/>
      <c r="P64" s="39"/>
    </row>
    <row r="65" spans="1:16" ht="22.9" x14ac:dyDescent="0.4">
      <c r="B65" s="35"/>
      <c r="C65" s="36"/>
      <c r="D65" s="35"/>
      <c r="E65" s="37"/>
      <c r="F65" s="39"/>
      <c r="G65" s="25"/>
      <c r="H65" s="25"/>
      <c r="I65" s="25"/>
      <c r="J65" s="25"/>
      <c r="L65" s="35"/>
      <c r="M65" s="36"/>
      <c r="N65" s="35"/>
      <c r="O65" s="37"/>
      <c r="P65" s="39"/>
    </row>
    <row r="66" spans="1:16" ht="22.9" x14ac:dyDescent="0.4">
      <c r="B66" s="35"/>
      <c r="C66" s="36"/>
      <c r="D66" s="35"/>
      <c r="E66" s="37"/>
      <c r="F66" s="39"/>
      <c r="G66" s="25"/>
      <c r="H66" s="25"/>
      <c r="I66" s="25"/>
      <c r="J66" s="25"/>
      <c r="L66" s="35"/>
      <c r="M66" s="36"/>
      <c r="N66" s="35"/>
      <c r="O66" s="37"/>
      <c r="P66" s="39"/>
    </row>
    <row r="67" spans="1:16" ht="22.9" x14ac:dyDescent="0.4">
      <c r="B67" s="35"/>
      <c r="C67" s="36"/>
      <c r="D67" s="35"/>
      <c r="E67" s="37"/>
      <c r="F67" s="39"/>
      <c r="G67" s="25"/>
      <c r="H67" s="25"/>
      <c r="I67" s="25"/>
      <c r="J67" s="25"/>
      <c r="L67" s="35"/>
      <c r="M67" s="36"/>
      <c r="N67" s="35"/>
      <c r="O67" s="37"/>
      <c r="P67" s="39"/>
    </row>
    <row r="68" spans="1:16" ht="22.9" x14ac:dyDescent="0.4">
      <c r="B68" s="35"/>
      <c r="C68" s="36"/>
      <c r="D68" s="35"/>
      <c r="E68" s="37"/>
      <c r="F68" s="39"/>
      <c r="G68" s="25"/>
      <c r="H68" s="25"/>
      <c r="I68" s="25"/>
      <c r="J68" s="25"/>
      <c r="L68" s="35"/>
      <c r="M68" s="36"/>
      <c r="N68" s="35"/>
      <c r="O68" s="37"/>
      <c r="P68" s="39"/>
    </row>
    <row r="69" spans="1:16" x14ac:dyDescent="0.4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</row>
    <row r="70" spans="1:16" x14ac:dyDescent="0.4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</row>
    <row r="71" spans="1:16" x14ac:dyDescent="0.4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</row>
    <row r="72" spans="1:16" x14ac:dyDescent="0.4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</row>
    <row r="73" spans="1:16" x14ac:dyDescent="0.4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</row>
    <row r="74" spans="1:16" x14ac:dyDescent="0.4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</row>
    <row r="75" spans="1:16" x14ac:dyDescent="0.4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</row>
    <row r="76" spans="1:16" x14ac:dyDescent="0.4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</row>
    <row r="77" spans="1:16" x14ac:dyDescent="0.4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</row>
    <row r="78" spans="1:16" x14ac:dyDescent="0.4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</row>
    <row r="79" spans="1:16" x14ac:dyDescent="0.4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</row>
    <row r="80" spans="1:16" x14ac:dyDescent="0.4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</row>
    <row r="81" spans="1:16" x14ac:dyDescent="0.4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</row>
    <row r="82" spans="1:16" x14ac:dyDescent="0.4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</row>
    <row r="83" spans="1:16" x14ac:dyDescent="0.4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</row>
    <row r="84" spans="1:16" x14ac:dyDescent="0.4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</row>
    <row r="85" spans="1:16" x14ac:dyDescent="0.4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</row>
    <row r="86" spans="1:16" x14ac:dyDescent="0.4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</row>
    <row r="87" spans="1:16" x14ac:dyDescent="0.4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</row>
    <row r="88" spans="1:16" x14ac:dyDescent="0.4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</row>
    <row r="89" spans="1:16" x14ac:dyDescent="0.4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</row>
    <row r="90" spans="1:16" x14ac:dyDescent="0.4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</row>
    <row r="91" spans="1:16" x14ac:dyDescent="0.4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</row>
    <row r="92" spans="1:16" x14ac:dyDescent="0.4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</row>
    <row r="93" spans="1:16" x14ac:dyDescent="0.4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</row>
    <row r="94" spans="1:16" x14ac:dyDescent="0.4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</row>
    <row r="95" spans="1:16" x14ac:dyDescent="0.4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</row>
    <row r="96" spans="1:16" x14ac:dyDescent="0.4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</row>
    <row r="97" spans="1:16" x14ac:dyDescent="0.4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</row>
    <row r="98" spans="1:16" x14ac:dyDescent="0.4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</row>
    <row r="99" spans="1:16" x14ac:dyDescent="0.4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</row>
    <row r="100" spans="1:16" x14ac:dyDescent="0.4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</row>
    <row r="101" spans="1:16" x14ac:dyDescent="0.4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</row>
    <row r="102" spans="1:16" x14ac:dyDescent="0.4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</row>
    <row r="103" spans="1:16" x14ac:dyDescent="0.4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</row>
    <row r="104" spans="1:16" x14ac:dyDescent="0.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</row>
    <row r="105" spans="1:16" x14ac:dyDescent="0.4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</row>
    <row r="106" spans="1:16" x14ac:dyDescent="0.4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</row>
    <row r="107" spans="1:16" x14ac:dyDescent="0.4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</row>
    <row r="108" spans="1:16" x14ac:dyDescent="0.4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</row>
    <row r="109" spans="1:16" x14ac:dyDescent="0.4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</row>
    <row r="110" spans="1:16" x14ac:dyDescent="0.4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</row>
    <row r="111" spans="1:16" x14ac:dyDescent="0.4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</row>
    <row r="112" spans="1:16" x14ac:dyDescent="0.4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</row>
    <row r="113" spans="1:16" x14ac:dyDescent="0.4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</row>
    <row r="114" spans="1:16" x14ac:dyDescent="0.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</row>
    <row r="115" spans="1:16" x14ac:dyDescent="0.4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</row>
    <row r="116" spans="1:16" x14ac:dyDescent="0.4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</row>
    <row r="117" spans="1:16" x14ac:dyDescent="0.4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</row>
    <row r="118" spans="1:16" x14ac:dyDescent="0.4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</row>
    <row r="119" spans="1:16" x14ac:dyDescent="0.4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</row>
    <row r="120" spans="1:16" x14ac:dyDescent="0.4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</row>
  </sheetData>
  <mergeCells count="2">
    <mergeCell ref="C1:F1"/>
    <mergeCell ref="C2:F2"/>
  </mergeCells>
  <pageMargins left="0.25" right="0.25" top="0.25" bottom="0.53" header="0.3" footer="0.28000000000000003"/>
  <pageSetup scale="53" orientation="portrait" r:id="rId1"/>
  <headerFooter scaleWithDoc="0" alignWithMargins="0">
    <oddFooter>Page 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1]!goto10insource">
                <anchor moveWithCells="1" sizeWithCells="1">
                  <from>
                    <xdr:col>16</xdr:col>
                    <xdr:colOff>142875</xdr:colOff>
                    <xdr:row>0</xdr:row>
                    <xdr:rowOff>28575</xdr:rowOff>
                  </from>
                  <to>
                    <xdr:col>20</xdr:col>
                    <xdr:colOff>323850</xdr:colOff>
                    <xdr:row>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Button 2">
              <controlPr defaultSize="0" print="0" autoFill="0" autoPict="0" macro="[1]!PAGE_preview">
                <anchor moveWithCells="1" sizeWithCells="1">
                  <from>
                    <xdr:col>16</xdr:col>
                    <xdr:colOff>142875</xdr:colOff>
                    <xdr:row>4</xdr:row>
                    <xdr:rowOff>95250</xdr:rowOff>
                  </from>
                  <to>
                    <xdr:col>20</xdr:col>
                    <xdr:colOff>323850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opyDataToTarget">
              <controlPr defaultSize="0" print="0" autoFill="0" autoPict="0" macro="[1]!copy10inch">
                <anchor moveWithCells="1" sizeWithCells="1">
                  <from>
                    <xdr:col>16</xdr:col>
                    <xdr:colOff>142875</xdr:colOff>
                    <xdr:row>3</xdr:row>
                    <xdr:rowOff>19050</xdr:rowOff>
                  </from>
                  <to>
                    <xdr:col>20</xdr:col>
                    <xdr:colOff>323850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List Box 4">
              <controlPr defaultSize="0" print="0" autoLine="0" autoPict="0">
                <anchor moveWithCells="1">
                  <from>
                    <xdr:col>16</xdr:col>
                    <xdr:colOff>114300</xdr:colOff>
                    <xdr:row>9</xdr:row>
                    <xdr:rowOff>228600</xdr:rowOff>
                  </from>
                  <to>
                    <xdr:col>21</xdr:col>
                    <xdr:colOff>104775</xdr:colOff>
                    <xdr:row>17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INDEPENDENT HOUSE DELIVERED</vt:lpstr>
      <vt:lpstr>'INDEPENDENT HOUSE DELIVERED'!Print_Area</vt:lpstr>
      <vt:lpstr>'INDEPENDENT HOUSE DELIVERED'!Print_Titles</vt:lpstr>
      <vt:lpstr>'INDEPENDENT HOUSE DELIVERED'!row_template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Labels</dc:creator>
  <cp:lastModifiedBy>Labels</cp:lastModifiedBy>
  <cp:lastPrinted>2026-06-13T13:19:26Z</cp:lastPrinted>
  <dcterms:created xsi:type="dcterms:W3CDTF">2026-06-13T13:18:11Z</dcterms:created>
  <dcterms:modified xsi:type="dcterms:W3CDTF">2026-06-13T13:19:30Z</dcterms:modified>
</cp:coreProperties>
</file>